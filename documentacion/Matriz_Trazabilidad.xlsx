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anac\OneDrive\Escritorio\Arevalo\Entrega fina Arevalo\"/>
    </mc:Choice>
  </mc:AlternateContent>
  <xr:revisionPtr revIDLastSave="0" documentId="13_ncr:1_{48CE5F89-C432-4180-840D-21C8EF55D192}" xr6:coauthVersionLast="47" xr6:coauthVersionMax="47" xr10:uidLastSave="{00000000-0000-0000-0000-000000000000}"/>
  <bookViews>
    <workbookView xWindow="11424" yWindow="0" windowWidth="11712" windowHeight="12336" activeTab="1" xr2:uid="{00000000-000D-0000-FFFF-FFFF00000000}"/>
  </bookViews>
  <sheets>
    <sheet name="Instrucciones" sheetId="1" r:id="rId1"/>
    <sheet name="Trazabilidad" sheetId="2" r:id="rId2"/>
    <sheet name="Resumen Cobertura" sheetId="3" r:id="rId3"/>
  </sheets>
  <definedNames>
    <definedName name="_xlnm._FilterDatabase" localSheetId="1" hidden="1">Trazabilidad!$A$3:$J$200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 l="1" a="1"/>
  <c r="B13" i="3"/>
  <c r="B12" i="3"/>
  <c r="B10" i="3"/>
  <c r="B9" i="3"/>
  <c r="B8" i="3"/>
  <c r="B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<sst xmlns="http://schemas.openxmlformats.org/spreadsheetml/2006/main" count="294" uniqueCount="188">
  <si>
    <t>MATRIZ DE TRAZABILIDAD — INSTRUCCIONES</t>
  </si>
  <si>
    <t>¿Qué es la Matriz de Trazabilidad?</t>
  </si>
  <si>
    <t>Documenta la relación entre cada requerimiento de la matriz y su implementación visible en el prototipo. Permite demostrar que el prototipo cubre los requerimientos especificados y que ninguno quedó sin representar.</t>
  </si>
  <si>
    <t>¿Cómo llenar esta matriz?</t>
  </si>
  <si>
    <t>1. Copien los IDs de requerimientos desde Matriz_Requerimientos.xlsx (columna ID).</t>
  </si>
  <si>
    <t>2. Para cada requerimiento, identifiquen en qué pantalla(s) del prototipo es visible.</t>
  </si>
  <si>
    <t>3. Indiquen la sección o componente específico dentro de la pantalla (ej: 'Formulario sección 2 - campo Diagnóstico').</t>
  </si>
  <si>
    <t>4. Asignen el estado de cobertura con el menú desplegable.</t>
  </si>
  <si>
    <t>5. Marquen si fue validado con el cliente durante la sesión de revisión del prototipo.</t>
  </si>
  <si>
    <t>6. Agreguen observaciones si el requerimiento fue ajustado o está pendiente.</t>
  </si>
  <si>
    <t>Estados de cobertura:</t>
  </si>
  <si>
    <t xml:space="preserve">  • Cubierto: El prototipo implementa completamente el requerimiento tal como fue especificado.</t>
  </si>
  <si>
    <t xml:space="preserve">  • Parcialmente cubierto: El prototipo muestra parte del requerimiento. Indicar qué falta en Observaciones.</t>
  </si>
  <si>
    <t xml:space="preserve">  • No cubierto: El requerimiento NO está representado en el prototipo (ej: RNF de rendimiento).</t>
  </si>
  <si>
    <t xml:space="preserve">  • No aplica al prototipo: Requerimientos que por naturaleza no son visibles (ej: respaldos automáticos).</t>
  </si>
  <si>
    <t>Consejo:</t>
  </si>
  <si>
    <t>Los RNF técnicos (rendimiento, seguridad, disponibilidad) generalmente NO se cubren con prototipo HTML. Márcalos como 'No aplica al prototipo' y anota cómo se validarán más adelante.</t>
  </si>
  <si>
    <t>¿Cómo identificar las pantallas? (columna 'ID Pantalla')</t>
  </si>
  <si>
    <t>El ID de pantalla (PNT-01, PNT-02...) es un código que SU EQUIPO inventa para identificar cada pantalla del prototipo. No existe un estándar externo — simplemente asignen un número secuencial a cada pantalla.</t>
  </si>
  <si>
    <t>Pasos para definir los IDs:</t>
  </si>
  <si>
    <t>1.  Abran su prototipo HTML y listen todas las pantallas que tiene.</t>
  </si>
  <si>
    <t>2.  Asignen PNT-01 a la primera, PNT-02 a la segunda, y así sucesivamente.</t>
  </si>
  <si>
    <t>3.  Usen esos mismos IDs en esta matriz, en la Especificación Final y en el README de GitHub.</t>
  </si>
  <si>
    <t>⚠️  Regla crítica: un ID que aparece en esta matriz DEBE existir con ese mismo nombre en el prototipo. Si cambian el nombre de una pantalla en el HTML, actualicen la matriz.</t>
  </si>
  <si>
    <t>Ejemplo de lista de pantallas para un sistema de guías de valoración:</t>
  </si>
  <si>
    <t>ID Pantalla</t>
  </si>
  <si>
    <t>Nombre descriptivo</t>
  </si>
  <si>
    <t>PNT-01</t>
  </si>
  <si>
    <t>Login / Inicio de sesión</t>
  </si>
  <si>
    <t>PNT-02</t>
  </si>
  <si>
    <t>Dashboard — vista general del estudiante</t>
  </si>
  <si>
    <t>PNT-03</t>
  </si>
  <si>
    <t>Captura de guía de valoración</t>
  </si>
  <si>
    <t>PNT-04</t>
  </si>
  <si>
    <t>Historial de guías del paciente</t>
  </si>
  <si>
    <t>PNT-05</t>
  </si>
  <si>
    <t>Panel de revisión del docente</t>
  </si>
  <si>
    <t>PNT-06</t>
  </si>
  <si>
    <t>Administración de plantillas (coordinador)</t>
  </si>
  <si>
    <t>¿Qué nivel de detalle se espera? (columna 'Sección / Componente')</t>
  </si>
  <si>
    <t>Esta columna ubica DENTRO de una pantalla el lugar exacto donde el requerimiento es visible. No basta con nombrar la pantalla — hay que señalar el elemento específico.</t>
  </si>
  <si>
    <t>Piénsenlo así: alguien que nunca ha visto su prototipo debe poder abrir el HTML y encontrar ese elemento en menos de 30 segundos con su descripción.</t>
  </si>
  <si>
    <t>Ejemplos: descripción vaga vs. descripción útil</t>
  </si>
  <si>
    <t>❌  Descripción vaga (no aceptable)</t>
  </si>
  <si>
    <t>✅  Descripción específica (lo que se espera)</t>
  </si>
  <si>
    <t>❌  'Pantalla de captura'</t>
  </si>
  <si>
    <t>✅  'Formulario principal — sección Patrón nutricional, campo Tipo de dieta'</t>
  </si>
  <si>
    <t>❌  'Menú'</t>
  </si>
  <si>
    <t>✅  'Barra de navegación lateral, ítem Mis guías'</t>
  </si>
  <si>
    <t>❌  'Login'</t>
  </si>
  <si>
    <t>✅  'Selector de rol debajo del campo de contraseña'</t>
  </si>
  <si>
    <t>❌  'Pantalla del docente'</t>
  </si>
  <si>
    <t>✅  'Tabla de guías del grupo, columna Estado — botón Ver detalle'</t>
  </si>
  <si>
    <t>❌  'Dashboard'</t>
  </si>
  <si>
    <t>✅  'Tarjeta resumen en esquina superior derecha — contador de guías pendientes'</t>
  </si>
  <si>
    <t>Casos especiales — ¿qué poner cuando el requerimiento no es visible en el prototipo?</t>
  </si>
  <si>
    <t>• No aplica al prototipo: Requerimientos técnicos no visibles en HTML estático: rendimiento, seguridad, respaldos, disponibilidad. Ejemplo: RNF-03 (responder en &lt;3 seg). Dejar vacías las columnas ID Pantalla y Sección/Componente, y explicar en Observaciones cómo se validaría en implementación real.</t>
  </si>
  <si>
    <t>• No cubierto: El requerimiento SÍ debería ser visible en el prototipo pero aún no está implementado. Documentarlo así y no omitirlo — la transparencia es parte de la evaluación.</t>
  </si>
  <si>
    <t>• Parcialmente cubierto: El prototipo muestra parte del requerimiento pero no todo. En Observaciones indicar qué falta exactamente.</t>
  </si>
  <si>
    <t>MATRIZ DE TRAZABILIDAD — REQUERIMIENTOS ↔ PROTOTIPO</t>
  </si>
  <si>
    <t>REQUERIMIENTO</t>
  </si>
  <si>
    <t>UBICACIÓN EN EL PROTOTIPO</t>
  </si>
  <si>
    <t>VALIDACIÓN</t>
  </si>
  <si>
    <t>ID Req.</t>
  </si>
  <si>
    <t>Tipo</t>
  </si>
  <si>
    <t>Descripción
(breve)</t>
  </si>
  <si>
    <t>Prioridad</t>
  </si>
  <si>
    <t>Nombre
Pantalla</t>
  </si>
  <si>
    <t>Sección /
Componente</t>
  </si>
  <si>
    <t>Cobertura</t>
  </si>
  <si>
    <t>Validado
con cliente</t>
  </si>
  <si>
    <t>Observaciones</t>
  </si>
  <si>
    <t>RF-01</t>
  </si>
  <si>
    <t>RF</t>
  </si>
  <si>
    <t>Must have</t>
  </si>
  <si>
    <t>Cubierto</t>
  </si>
  <si>
    <t>Sí</t>
  </si>
  <si>
    <t>RF-02</t>
  </si>
  <si>
    <t>RF-03</t>
  </si>
  <si>
    <t>RF-04</t>
  </si>
  <si>
    <t>RF-05</t>
  </si>
  <si>
    <t>RF-06</t>
  </si>
  <si>
    <t>Parcialmente cubierto</t>
  </si>
  <si>
    <t>RF-07</t>
  </si>
  <si>
    <t>Should have</t>
  </si>
  <si>
    <t>RF-08</t>
  </si>
  <si>
    <t>No aplica al prototipo</t>
  </si>
  <si>
    <t>—</t>
  </si>
  <si>
    <t>RF-09</t>
  </si>
  <si>
    <t>RNF-01</t>
  </si>
  <si>
    <t>RNF</t>
  </si>
  <si>
    <t>RNF-02</t>
  </si>
  <si>
    <t>RNF-03</t>
  </si>
  <si>
    <t>RESUMEN DE COBERTURA DE REQUERIMIENTOS EN EL PROTOTIPO</t>
  </si>
  <si>
    <t>Este resumen se actualiza automáticamente con los datos de la hoja Trazabilidad.</t>
  </si>
  <si>
    <t>Métrica</t>
  </si>
  <si>
    <t>Valor</t>
  </si>
  <si>
    <t>Total de requerimientos en la matriz</t>
  </si>
  <si>
    <t>Cubiertos completamente</t>
  </si>
  <si>
    <t>Parcialmente cubiertos</t>
  </si>
  <si>
    <t>No cubiertos</t>
  </si>
  <si>
    <t>No aplican al prototipo</t>
  </si>
  <si>
    <t>Validados con cliente (Sí)</t>
  </si>
  <si>
    <t>Pendientes de validación con cliente (No)</t>
  </si>
  <si>
    <t>Gestionar catálogo único de productos con SKU, descripción, precios, stock.</t>
  </si>
  <si>
    <t>Catálogo &amp; Inventario</t>
  </si>
  <si>
    <t>Tabla de productos (columnas SKU, Descripción, Marca, Precio, Stock). Botón "Nuevo producto" que valida SKU duplicado.</t>
  </si>
  <si>
    <t>La validación de SKU único se demostró en vivo (RF-07).</t>
  </si>
  <si>
    <t>Registrar movimientos de inventario (entradas/salidas) y actualizar existencias automáticamente.</t>
  </si>
  <si>
    <t>Sección "Movimientos de inventario" (tabla histórica). Al registrar una venta (PNT-02), el stock se descuenta automáticamente y se agrega el movimiento.</t>
  </si>
  <si>
    <t>También aplica al recibir una orden de compra (PNT-04).</t>
  </si>
  <si>
    <t>Importar facturas de venta desde sistema externo (CSV/XML) y mantener historial con estatus de pago.</t>
  </si>
  <si>
    <t>Ventas y Cuentas por Cobrar</t>
  </si>
  <si>
    <t>Botón "Importar CSV/XML" en la barra de acciones. Simulación de carga y validación de folio único.</t>
  </si>
  <si>
    <t>El cliente confirmó que el formato se definirá en la siguiente fase (ver minuta validación).</t>
  </si>
  <si>
    <t>Gestionar cuentas por cobrar con abonos (parciales/totales), cálculo de saldo y antigüedad de cartera.</t>
  </si>
  <si>
    <t>Tabla de facturas (columnas: Folio, Total, Saldo, Días vencido, Estado). Botón "Abono" que actualiza saldo y cambia estado a "Pagada" cuando saldo = 0.</t>
  </si>
  <si>
    <t>La columna "Días vencido" se calcula automáticamente (RF-10).</t>
  </si>
  <si>
    <t>Gestionar cuentas por pagar a proveedores con facturas de compra, fechas de vencimiento y pagos.</t>
  </si>
  <si>
    <t>Cuentas por Pagar</t>
  </si>
  <si>
    <t>Tabla de facturas de proveedores (Folio, Proveedor, Vencimiento, Total, Saldo). Botón "Registrar pago" que actualiza saldo y estado.</t>
  </si>
  <si>
    <t>El cliente solicitó agregar un campo de "notas" en el pago (mejora futura).</t>
  </si>
  <si>
    <t>Generar cotizaciones y órdenes de compra con selección de productos desde el catálogo.</t>
  </si>
  <si>
    <t>Cotizaciones / Órdenes</t>
  </si>
  <si>
    <t>Botón "Nueva cotización" y sección "Cotizaciones recientes". Botón "Simular Orden de Compra" que incrementa inventario.</t>
  </si>
  <si>
    <t>Cambió de Should a Must en la sesión de validación (ver minuta).</t>
  </si>
  <si>
    <t>Evitar duplicidades: SKU único, RFC único, folio de factura único.</t>
  </si>
  <si>
    <t>PNT-01, PNT-02</t>
  </si>
  <si>
    <t>Catálogo &amp; Inventario, Ventas</t>
  </si>
  <si>
    <t>(1) Formulario "Nuevo producto" (PNT-01) valida SKU. (2) Importación CSV (PNT-02) valida folio duplicado. (3) Selector de cliente en factura usa RFC.</t>
  </si>
  <si>
    <t>Se demostró en vivo al intentar duplicar SKU.</t>
  </si>
  <si>
    <t>Estandarizar formatos de fecha (dd/mm/aaaa) y montos (con separador de miles y 2 decimales).</t>
  </si>
  <si>
    <t>PNT-01, PNT-02, PNT-03, PNT-05</t>
  </si>
  <si>
    <t>Todas las pantallas</t>
  </si>
  <si>
    <t>Se aplica en toda la interfaz del prototipo.</t>
  </si>
  <si>
    <t>Conciliación bancaria semiautomática (emparejamiento exacto + revisión manual).</t>
  </si>
  <si>
    <t>Sección de simulación de carga de extracto bancario (dentro de la pestaña de Ventas). El prototipo muestra la interfaz de carga, pero la funcionalidad de arrastre para emparejamiento manual está simulada.</t>
  </si>
  <si>
    <t>El cliente aceptó el enfoque semiautomático. La interfaz de arrastre se implementará en la fase de Diseño de Software.</t>
  </si>
  <si>
    <t>RF-10</t>
  </si>
  <si>
    <t>Generar reportes de inventario, cartera, cuentas por pagar y movimientos históricos.</t>
  </si>
  <si>
    <t>Reportes y Trazabilidad</t>
  </si>
  <si>
    <t>(1) Reporte de inventario con estatus "Bajo stock". (2) Reporte de antigüedad de cartera con saldo vencido. (3) Historial completo de movimientos. Botones "Exportar a Excel/CSV" y "Exportar a PDF" (simulados).</t>
  </si>
  <si>
    <t>El cliente solicitó agregar logotipo en PDF (mejora futura).</t>
  </si>
  <si>
    <t>RF-11</t>
  </si>
  <si>
    <t>Gestionar catálogo de clientes y proveedores con RFC y datos de contacto.</t>
  </si>
  <si>
    <t>PNT-02, PNT-03</t>
  </si>
  <si>
    <t>Ventas, Cuentas por Pagar</t>
  </si>
  <si>
    <t>Los selectores de cliente (en factura de venta) y proveedor (en factura de compra) muestran RFC y nombre. No hay una pantalla dedicada de CRUD, solo selección desde los formularios.</t>
  </si>
  <si>
    <t>Se agregó como requerimiento en la validación. La gestión completa (alta/baja) se implementará en la siguiente fase.</t>
  </si>
  <si>
    <t>RF-12</t>
  </si>
  <si>
    <t>Gestionar usuarios del sistema con asignación de roles (almacén, cobranzas, administración).</t>
  </si>
  <si>
    <t>PNT-01 (barra superior)</t>
  </si>
  <si>
    <t>Todas las pantallas (simulado)</t>
  </si>
  <si>
    <t>Selector de rol en la barra superior ("Administración"). El menú cambia según el rol simulado. No hay pantalla de gestión de usuarios (CRUD) en el prototipo.</t>
  </si>
  <si>
    <t>Se agregó como requerimiento en la validación. La pantalla de administración de usuarios se implementará en la siguiente fase.</t>
  </si>
  <si>
    <t>RF-13</t>
  </si>
  <si>
    <t>Cancelación de facturas y devoluciones con reintegro al inventario.</t>
  </si>
  <si>
    <t>No implementado en el prototipo.</t>
  </si>
  <si>
    <t>No cubierto</t>
  </si>
  <si>
    <t>Identificado como requerimiento faltante en la validación. Se implementará en fases posteriores.</t>
  </si>
  <si>
    <t>RF-14</t>
  </si>
  <si>
    <t>Registro de log de auditoría de operaciones de escritura.</t>
  </si>
  <si>
    <t>Rendimiento: 5,000 movimientos mensuales y 1,000 facturas anuales con consultas &lt; 3 seg.</t>
  </si>
  <si>
    <t>No aplica al prototipo (es HTML estático, sin base de datos).</t>
  </si>
  <si>
    <t>Se validará en la implementación real con pruebas de carga (fase Diseño de Software).</t>
  </si>
  <si>
    <t>Usabilidad tipo Excel: filtros, ordenamiento, copiar/pegar desde Excel.</t>
  </si>
  <si>
    <t>No aplica al prototipo (la funcionalidad de copiar/pegar requiere lógica de backend).</t>
  </si>
  <si>
    <t>El prototipo muestra la interfaz con tablas y filtros visuales, pero la funcionalidad completa se implementará en el sistema final.</t>
  </si>
  <si>
    <t>Respaldos automáticos diarios con retención de 30 días.</t>
  </si>
  <si>
    <t>No aplica al prototipo.</t>
  </si>
  <si>
    <t>Se implementará a nivel de servidor/base de datos en la siguiente fase.</t>
  </si>
  <si>
    <t>RNF-04</t>
  </si>
  <si>
    <t>Control de acceso por roles: almacén, cobranzas, administración.</t>
  </si>
  <si>
    <t>Selector de rol en la barra superior. Al seleccionar un rol, el menú y las acciones disponibles cambian (simulado).</t>
  </si>
  <si>
    <t>Se demostró en la sesión de validación. La restricción real se implementará con autenticación en la siguiente fase.</t>
  </si>
  <si>
    <t>RNF-05</t>
  </si>
  <si>
    <t>Disponibilidad: funcionar en local y opcionalmente en remoto (VPN/nube).</t>
  </si>
  <si>
    <t>Se definirá la arquitectura de despliegue en la fase de Diseño de Software.</t>
  </si>
  <si>
    <t>RNF-06</t>
  </si>
  <si>
    <t>Validar integridad de datos al importar desde Excel (evitar duplicados y formatos incorrectos).</t>
  </si>
  <si>
    <t>Ventana de importación CSV que muestra una alerta de validación. Sin embargo, no hay una vista previa detallada con errores específicos.</t>
  </si>
  <si>
    <t>El prototipo simula la validación, pero la vista previa detallada se implementará en la siguiente fase.</t>
  </si>
  <si>
    <t>RNF-07</t>
  </si>
  <si>
    <t>Aplicación web responsive, accesible desde navegador sin instalación.</t>
  </si>
  <si>
    <t>PNT-01, PNT-02, PNT-03, PNT-04, PNT-05</t>
  </si>
  <si>
    <t>El diseño se adapta a resoluciones de pantalla (probado en laptop y tablet durante la sesión de validación).</t>
  </si>
  <si>
    <t>El cliente validó visualmente la adaptabilidad en diferentes dispositivos.</t>
  </si>
  <si>
    <t>Todas las tablas y formularios muestran fechas en formato dd/mm/aaaa y montos con $ y dos decimales (ej. $1,234.56).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</si>
</sst>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rgb="FF1F4E79"/>
      <name val="Arial"/>
    </font>
    <font>
      <b/>
      <sz val="11"/>
      <color rgb="FF1F4E79"/>
      <name val="Arial"/>
    </font>
    <font>
      <sz val="11"/>
      <color rgb="FF404040"/>
      <name val="Arial"/>
    </font>
    <font>
      <b/>
      <sz val="14"/>
      <color rgb="FFFFFFFF"/>
      <name val="Arial"/>
    </font>
    <font>
      <b/>
      <sz val="10"/>
      <color rgb="FFFFFFFF"/>
      <name val="Arial"/>
    </font>
    <font>
      <b/>
      <sz val="11"/>
      <color rgb="FFFFFFFF"/>
      <name val="Arial"/>
    </font>
    <font>
      <sz val="10"/>
      <name val="Arial"/>
    </font>
    <font>
      <b/>
      <sz val="14"/>
      <color rgb="FF1F4E79"/>
      <name val="Arial"/>
    </font>
    <font>
      <i/>
      <sz val="10"/>
      <color rgb="FF595959"/>
      <name val="Arial"/>
    </font>
    <font>
      <b/>
      <sz val="12"/>
      <color rgb="FF1F4E79"/>
      <name val="Arial"/>
    </font>
    <font>
      <b/>
      <sz val="11"/>
      <color rgb="FF404040"/>
      <name val="Arial"/>
    </font>
    <font>
      <sz val="11"/>
      <color rgb="FF833C00"/>
      <name val="Arial"/>
    </font>
    <font>
      <i/>
      <sz val="10"/>
      <name val="Arial"/>
    </font>
    <font>
      <i/>
      <sz val="11"/>
      <color rgb="FF375623"/>
      <name val="Arial"/>
    </font>
    <font>
      <sz val="8"/>
      <name val="Calibri"/>
      <family val="2"/>
      <scheme val="minor"/>
    </font>
    <font>
      <sz val="11"/>
      <color rgb="FF404040"/>
      <name val="Arial"/>
      <family val="2"/>
    </font>
  </fonts>
  <fills count="14">
    <fill>
      <patternFill patternType="none"/>
    </fill>
    <fill>
      <patternFill patternType="gray125"/>
    </fill>
    <fill>
      <patternFill patternType="solid">
        <fgColor rgb="FF1F4E79"/>
        <bgColor rgb="FF1F4E79"/>
      </patternFill>
    </fill>
    <fill>
      <patternFill patternType="solid">
        <fgColor rgb="FF2E74B5"/>
        <bgColor rgb="FF2E74B5"/>
      </patternFill>
    </fill>
    <fill>
      <patternFill patternType="solid">
        <fgColor rgb="FF375623"/>
        <bgColor rgb="FF375623"/>
      </patternFill>
    </fill>
    <fill>
      <patternFill patternType="solid">
        <fgColor rgb="FF833C00"/>
        <bgColor rgb="FF833C00"/>
      </patternFill>
    </fill>
    <fill>
      <patternFill patternType="solid">
        <fgColor rgb="FFFFFFFF"/>
        <bgColor rgb="FFFFFFFF"/>
      </patternFill>
    </fill>
    <fill>
      <patternFill patternType="solid">
        <fgColor rgb="FFE2EFDA"/>
        <bgColor rgb="FFE2EFDA"/>
      </patternFill>
    </fill>
    <fill>
      <patternFill patternType="solid">
        <fgColor rgb="FFF8F8F8"/>
        <bgColor rgb="FFF8F8F8"/>
      </patternFill>
    </fill>
    <fill>
      <patternFill patternType="solid">
        <fgColor rgb="FFFFF2CC"/>
        <bgColor rgb="FFFFF2CC"/>
      </patternFill>
    </fill>
    <fill>
      <patternFill patternType="solid">
        <fgColor rgb="FFEDEDED"/>
        <bgColor rgb="FFEDEDED"/>
      </patternFill>
    </fill>
    <fill>
      <patternFill patternType="solid">
        <fgColor rgb="FFF2F2F2"/>
        <bgColor rgb="FFF2F2F2"/>
      </patternFill>
    </fill>
    <fill>
      <patternFill patternType="solid">
        <fgColor rgb="FFC00000"/>
        <bgColor rgb="FFC00000"/>
      </patternFill>
    </fill>
    <fill>
      <patternFill patternType="solid">
        <fgColor rgb="FFFFE6E6"/>
        <bgColor rgb="FFFFE6E6"/>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37">
    <xf numFmtId="0" fontId="0" fillId="0" borderId="0" xfId="0"/>
    <xf numFmtId="0" fontId="2" fillId="0" borderId="0" xfId="0" applyFont="1" applyAlignment="1">
      <alignment wrapText="1"/>
    </xf>
    <xf numFmtId="0" fontId="3" fillId="0" borderId="0" xfId="0" applyFont="1" applyAlignment="1">
      <alignment wrapText="1"/>
    </xf>
    <xf numFmtId="0" fontId="6" fillId="2" borderId="1" xfId="0" applyFont="1" applyFill="1" applyBorder="1" applyAlignment="1">
      <alignment horizontal="center" vertical="top" wrapText="1"/>
    </xf>
    <xf numFmtId="0" fontId="7" fillId="6" borderId="1" xfId="0" applyFont="1" applyFill="1" applyBorder="1" applyAlignment="1">
      <alignment vertical="top" wrapText="1"/>
    </xf>
    <xf numFmtId="0" fontId="7" fillId="7" borderId="1" xfId="0" applyFont="1" applyFill="1" applyBorder="1" applyAlignment="1">
      <alignment vertical="top" wrapText="1"/>
    </xf>
    <xf numFmtId="0" fontId="7" fillId="8" borderId="1" xfId="0" applyFont="1" applyFill="1" applyBorder="1" applyAlignment="1">
      <alignment vertical="top" wrapText="1"/>
    </xf>
    <xf numFmtId="0" fontId="7" fillId="9" borderId="1" xfId="0" applyFont="1" applyFill="1" applyBorder="1" applyAlignment="1">
      <alignment vertical="top" wrapText="1"/>
    </xf>
    <xf numFmtId="0" fontId="7" fillId="10" borderId="1" xfId="0" applyFont="1" applyFill="1" applyBorder="1" applyAlignment="1">
      <alignment vertical="top" wrapText="1"/>
    </xf>
    <xf numFmtId="0" fontId="2" fillId="11" borderId="1" xfId="0" applyFont="1" applyFill="1" applyBorder="1" applyAlignment="1">
      <alignment vertical="center" wrapText="1"/>
    </xf>
    <xf numFmtId="0" fontId="3" fillId="6" borderId="1" xfId="0" applyFont="1" applyFill="1" applyBorder="1" applyAlignment="1">
      <alignment vertical="center" wrapText="1"/>
    </xf>
    <xf numFmtId="0" fontId="0" fillId="2" borderId="0" xfId="0" applyFill="1"/>
    <xf numFmtId="0" fontId="10" fillId="11" borderId="0" xfId="0" applyFont="1" applyFill="1" applyAlignment="1">
      <alignment wrapText="1"/>
    </xf>
    <xf numFmtId="0" fontId="11" fillId="0" borderId="0" xfId="0" applyFont="1" applyAlignment="1">
      <alignment wrapText="1"/>
    </xf>
    <xf numFmtId="0" fontId="3" fillId="0" borderId="0" xfId="0" applyFont="1" applyAlignment="1">
      <alignment wrapText="1" indent="2"/>
    </xf>
    <xf numFmtId="0" fontId="12" fillId="0" borderId="0" xfId="0" applyFont="1" applyAlignment="1">
      <alignment wrapText="1"/>
    </xf>
    <xf numFmtId="0" fontId="5" fillId="2" borderId="1" xfId="0" applyFont="1" applyFill="1" applyBorder="1" applyAlignment="1">
      <alignment horizontal="center" vertical="center" wrapText="1"/>
    </xf>
    <xf numFmtId="0" fontId="13" fillId="11" borderId="1" xfId="0" applyFont="1" applyFill="1" applyBorder="1" applyAlignment="1">
      <alignment vertical="top" wrapText="1"/>
    </xf>
    <xf numFmtId="0" fontId="13" fillId="6" borderId="1" xfId="0" applyFont="1" applyFill="1" applyBorder="1" applyAlignment="1">
      <alignment vertical="top" wrapText="1"/>
    </xf>
    <xf numFmtId="0" fontId="14" fillId="0" borderId="0" xfId="0" applyFont="1" applyAlignment="1">
      <alignment wrapText="1"/>
    </xf>
    <xf numFmtId="0" fontId="5" fillId="1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3" fillId="13" borderId="1" xfId="0" applyFont="1" applyFill="1" applyBorder="1" applyAlignment="1">
      <alignment vertical="top" wrapText="1"/>
    </xf>
    <xf numFmtId="0" fontId="13" fillId="7" borderId="1" xfId="0" applyFont="1" applyFill="1" applyBorder="1" applyAlignment="1">
      <alignment vertical="top" wrapText="1"/>
    </xf>
    <xf numFmtId="0" fontId="7" fillId="9" borderId="1" xfId="0" applyFont="1" applyFill="1" applyBorder="1" applyAlignment="1">
      <alignment wrapText="1" indent="2"/>
    </xf>
    <xf numFmtId="0" fontId="1" fillId="0" borderId="0" xfId="0" applyFont="1"/>
    <xf numFmtId="0" fontId="0" fillId="0" borderId="0" xfId="0"/>
    <xf numFmtId="0" fontId="4" fillId="2" borderId="0" xfId="0" applyFont="1" applyFill="1" applyAlignment="1">
      <alignment horizontal="center" vertical="center"/>
    </xf>
    <xf numFmtId="0" fontId="5" fillId="4" borderId="1" xfId="0" applyFont="1" applyFill="1" applyBorder="1" applyAlignment="1">
      <alignment horizontal="center" vertical="center"/>
    </xf>
    <xf numFmtId="0" fontId="0" fillId="0" borderId="2" xfId="0" applyBorder="1"/>
    <xf numFmtId="0" fontId="0" fillId="0" borderId="3" xfId="0" applyBorder="1"/>
    <xf numFmtId="0" fontId="5" fillId="5" borderId="1" xfId="0" applyFont="1" applyFill="1" applyBorder="1" applyAlignment="1">
      <alignment horizontal="center" vertical="center"/>
    </xf>
    <xf numFmtId="0" fontId="5" fillId="3" borderId="1" xfId="0" applyFont="1" applyFill="1" applyBorder="1" applyAlignment="1">
      <alignment horizontal="center" vertical="center"/>
    </xf>
    <xf numFmtId="0" fontId="8" fillId="0" borderId="0" xfId="0" applyFont="1"/>
    <xf numFmtId="0" fontId="9" fillId="0" borderId="0" xfId="0" applyFont="1"/>
    <xf numFmtId="0" fontId="0" fillId="0" borderId="0" xfId="0" applyAlignment="1">
      <alignment wrapText="1"/>
    </xf>
    <xf numFmtId="0" fontId="16" fillId="6"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topLeftCell="A55" workbookViewId="0">
      <selection activeCell="B7" sqref="B7"/>
    </sheetView>
  </sheetViews>
  <sheetFormatPr baseColWidth="10" defaultColWidth="8.88671875" defaultRowHeight="14.4" x14ac:dyDescent="0.3"/>
  <cols>
    <col min="1" max="2" width="60" customWidth="1"/>
  </cols>
  <sheetData>
    <row r="1" spans="1:7" ht="30" customHeight="1" x14ac:dyDescent="0.4">
      <c r="A1" s="25" t="s">
        <v>0</v>
      </c>
      <c r="B1" s="26"/>
      <c r="C1" s="26"/>
      <c r="D1" s="26"/>
      <c r="E1" s="26"/>
      <c r="F1" s="26"/>
      <c r="G1" s="26"/>
    </row>
    <row r="3" spans="1:7" ht="30" customHeight="1" x14ac:dyDescent="0.3">
      <c r="A3" s="1" t="s">
        <v>1</v>
      </c>
    </row>
    <row r="4" spans="1:7" ht="69" customHeight="1" x14ac:dyDescent="0.3">
      <c r="A4" s="2" t="s">
        <v>2</v>
      </c>
    </row>
    <row r="6" spans="1:7" ht="30" customHeight="1" x14ac:dyDescent="0.3">
      <c r="A6" s="1" t="s">
        <v>3</v>
      </c>
    </row>
    <row r="7" spans="1:7" ht="50.4" customHeight="1" x14ac:dyDescent="0.3">
      <c r="A7" s="2" t="s">
        <v>4</v>
      </c>
    </row>
    <row r="8" spans="1:7" ht="57" customHeight="1" x14ac:dyDescent="0.3">
      <c r="A8" s="2" t="s">
        <v>5</v>
      </c>
    </row>
    <row r="9" spans="1:7" ht="43.8" customHeight="1" x14ac:dyDescent="0.3">
      <c r="A9" s="2" t="s">
        <v>6</v>
      </c>
    </row>
    <row r="10" spans="1:7" ht="52.2" customHeight="1" x14ac:dyDescent="0.3">
      <c r="A10" s="2" t="s">
        <v>7</v>
      </c>
    </row>
    <row r="11" spans="1:7" ht="51" customHeight="1" x14ac:dyDescent="0.3">
      <c r="A11" s="2" t="s">
        <v>8</v>
      </c>
    </row>
    <row r="12" spans="1:7" ht="50.4" customHeight="1" x14ac:dyDescent="0.3">
      <c r="A12" s="2" t="s">
        <v>9</v>
      </c>
    </row>
    <row r="14" spans="1:7" ht="30" customHeight="1" x14ac:dyDescent="0.3">
      <c r="A14" s="1" t="s">
        <v>10</v>
      </c>
    </row>
    <row r="15" spans="1:7" ht="46.8" customHeight="1" x14ac:dyDescent="0.3">
      <c r="A15" s="2" t="s">
        <v>11</v>
      </c>
    </row>
    <row r="16" spans="1:7" ht="44.4" customHeight="1" x14ac:dyDescent="0.3">
      <c r="A16" s="2" t="s">
        <v>12</v>
      </c>
    </row>
    <row r="17" spans="1:1" ht="51.6" customHeight="1" x14ac:dyDescent="0.3">
      <c r="A17" s="2" t="s">
        <v>13</v>
      </c>
    </row>
    <row r="18" spans="1:1" ht="54" customHeight="1" x14ac:dyDescent="0.3">
      <c r="A18" s="2" t="s">
        <v>14</v>
      </c>
    </row>
    <row r="19" spans="1:1" ht="46.2" customHeight="1" x14ac:dyDescent="0.3"/>
    <row r="20" spans="1:1" ht="30" customHeight="1" x14ac:dyDescent="0.3">
      <c r="A20" s="1" t="s">
        <v>15</v>
      </c>
    </row>
    <row r="21" spans="1:1" ht="52.8" customHeight="1" x14ac:dyDescent="0.3">
      <c r="A21" s="2" t="s">
        <v>16</v>
      </c>
    </row>
    <row r="23" spans="1:1" ht="39.6" customHeight="1" x14ac:dyDescent="0.3">
      <c r="A23" s="11"/>
    </row>
    <row r="24" spans="1:1" ht="51.6" customHeight="1" x14ac:dyDescent="0.3">
      <c r="A24" s="12" t="s">
        <v>17</v>
      </c>
    </row>
    <row r="25" spans="1:1" ht="78.599999999999994" customHeight="1" x14ac:dyDescent="0.3">
      <c r="A25" s="2" t="s">
        <v>18</v>
      </c>
    </row>
    <row r="26" spans="1:1" ht="43.2" customHeight="1" x14ac:dyDescent="0.3">
      <c r="A26" s="13" t="s">
        <v>19</v>
      </c>
    </row>
    <row r="27" spans="1:1" ht="41.4" customHeight="1" x14ac:dyDescent="0.3">
      <c r="A27" s="14" t="s">
        <v>20</v>
      </c>
    </row>
    <row r="28" spans="1:1" ht="51.6" customHeight="1" x14ac:dyDescent="0.3">
      <c r="A28" s="14" t="s">
        <v>21</v>
      </c>
    </row>
    <row r="29" spans="1:1" ht="69.599999999999994" customHeight="1" x14ac:dyDescent="0.3">
      <c r="A29" s="14" t="s">
        <v>22</v>
      </c>
    </row>
    <row r="30" spans="1:1" ht="59.4" customHeight="1" x14ac:dyDescent="0.3">
      <c r="A30" s="15" t="s">
        <v>23</v>
      </c>
    </row>
    <row r="31" spans="1:1" ht="13.8" customHeight="1" x14ac:dyDescent="0.3"/>
    <row r="32" spans="1:1" ht="70.2" customHeight="1" x14ac:dyDescent="0.3">
      <c r="A32" s="13" t="s">
        <v>24</v>
      </c>
    </row>
    <row r="33" spans="1:2" ht="19.95" customHeight="1" x14ac:dyDescent="0.3">
      <c r="A33" s="16" t="s">
        <v>25</v>
      </c>
      <c r="B33" s="16" t="s">
        <v>26</v>
      </c>
    </row>
    <row r="34" spans="1:2" ht="36" customHeight="1" x14ac:dyDescent="0.3">
      <c r="A34" s="17" t="s">
        <v>27</v>
      </c>
      <c r="B34" s="17" t="s">
        <v>28</v>
      </c>
    </row>
    <row r="35" spans="1:2" ht="36" customHeight="1" x14ac:dyDescent="0.3">
      <c r="A35" s="18" t="s">
        <v>29</v>
      </c>
      <c r="B35" s="18" t="s">
        <v>30</v>
      </c>
    </row>
    <row r="36" spans="1:2" ht="36" customHeight="1" x14ac:dyDescent="0.3">
      <c r="A36" s="17" t="s">
        <v>31</v>
      </c>
      <c r="B36" s="17" t="s">
        <v>32</v>
      </c>
    </row>
    <row r="37" spans="1:2" ht="36" customHeight="1" x14ac:dyDescent="0.3">
      <c r="A37" s="18" t="s">
        <v>33</v>
      </c>
      <c r="B37" s="18" t="s">
        <v>34</v>
      </c>
    </row>
    <row r="38" spans="1:2" ht="36" customHeight="1" x14ac:dyDescent="0.3">
      <c r="A38" s="17" t="s">
        <v>35</v>
      </c>
      <c r="B38" s="17" t="s">
        <v>36</v>
      </c>
    </row>
    <row r="39" spans="1:2" ht="31.8" customHeight="1" x14ac:dyDescent="0.3">
      <c r="A39" s="18" t="s">
        <v>37</v>
      </c>
      <c r="B39" s="18" t="s">
        <v>38</v>
      </c>
    </row>
    <row r="40" spans="1:2" hidden="1" x14ac:dyDescent="0.3"/>
    <row r="41" spans="1:2" ht="47.4" customHeight="1" x14ac:dyDescent="0.3"/>
    <row r="42" spans="1:2" ht="35.4" customHeight="1" x14ac:dyDescent="0.3">
      <c r="A42" s="11"/>
    </row>
    <row r="43" spans="1:2" ht="0.6" customHeight="1" x14ac:dyDescent="0.3">
      <c r="A43" s="12" t="s">
        <v>39</v>
      </c>
    </row>
    <row r="44" spans="1:2" ht="18" customHeight="1" x14ac:dyDescent="0.3">
      <c r="A44" s="2" t="s">
        <v>40</v>
      </c>
    </row>
    <row r="45" spans="1:2" ht="50.4" customHeight="1" x14ac:dyDescent="0.3">
      <c r="A45" s="19" t="s">
        <v>41</v>
      </c>
    </row>
    <row r="47" spans="1:2" ht="18" customHeight="1" x14ac:dyDescent="0.3">
      <c r="A47" s="13" t="s">
        <v>42</v>
      </c>
    </row>
    <row r="48" spans="1:2" ht="19.95" customHeight="1" x14ac:dyDescent="0.3">
      <c r="A48" s="20" t="s">
        <v>43</v>
      </c>
      <c r="B48" s="21" t="s">
        <v>44</v>
      </c>
    </row>
    <row r="49" spans="1:2" ht="36" customHeight="1" x14ac:dyDescent="0.3">
      <c r="A49" s="22" t="s">
        <v>45</v>
      </c>
      <c r="B49" s="23" t="s">
        <v>46</v>
      </c>
    </row>
    <row r="50" spans="1:2" ht="36" customHeight="1" x14ac:dyDescent="0.3">
      <c r="A50" s="22" t="s">
        <v>47</v>
      </c>
      <c r="B50" s="23" t="s">
        <v>48</v>
      </c>
    </row>
    <row r="51" spans="1:2" ht="36" customHeight="1" x14ac:dyDescent="0.3">
      <c r="A51" s="22" t="s">
        <v>49</v>
      </c>
      <c r="B51" s="23" t="s">
        <v>50</v>
      </c>
    </row>
    <row r="52" spans="1:2" ht="16.2" customHeight="1" x14ac:dyDescent="0.3">
      <c r="A52" s="22" t="s">
        <v>51</v>
      </c>
      <c r="B52" s="23" t="s">
        <v>52</v>
      </c>
    </row>
    <row r="53" spans="1:2" ht="49.8" customHeight="1" x14ac:dyDescent="0.3">
      <c r="A53" s="22" t="s">
        <v>53</v>
      </c>
      <c r="B53" s="23" t="s">
        <v>54</v>
      </c>
    </row>
    <row r="55" spans="1:2" ht="18" customHeight="1" x14ac:dyDescent="0.3">
      <c r="A55" s="13" t="s">
        <v>55</v>
      </c>
    </row>
    <row r="56" spans="1:2" ht="42" customHeight="1" x14ac:dyDescent="0.3">
      <c r="A56" s="24" t="s">
        <v>56</v>
      </c>
    </row>
    <row r="57" spans="1:2" ht="42" customHeight="1" x14ac:dyDescent="0.3">
      <c r="A57" s="24" t="s">
        <v>57</v>
      </c>
    </row>
    <row r="58" spans="1:2" ht="42" customHeight="1" x14ac:dyDescent="0.3">
      <c r="A58" s="24" t="s">
        <v>58</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
  <sheetViews>
    <sheetView tabSelected="1" topLeftCell="B1" zoomScale="97" workbookViewId="0">
      <pane ySplit="3" topLeftCell="A20" activePane="bottomLeft" state="frozen"/>
      <selection pane="bottomLeft" activeCell="A25" sqref="A25"/>
    </sheetView>
  </sheetViews>
  <sheetFormatPr baseColWidth="10" defaultColWidth="8.88671875" defaultRowHeight="14.4" x14ac:dyDescent="0.3"/>
  <cols>
    <col min="1" max="1" width="10" customWidth="1"/>
    <col min="2" max="2" width="8" customWidth="1"/>
    <col min="3" max="3" width="35" customWidth="1"/>
    <col min="4" max="5" width="12" customWidth="1"/>
    <col min="6" max="6" width="22" customWidth="1"/>
    <col min="7" max="7" width="28" customWidth="1"/>
    <col min="8" max="8" width="18" customWidth="1"/>
    <col min="9" max="9" width="14" customWidth="1"/>
    <col min="10" max="10" width="30" customWidth="1"/>
  </cols>
  <sheetData>
    <row r="1" spans="1:10" ht="28.05" customHeight="1" x14ac:dyDescent="0.3">
      <c r="A1" s="27" t="s">
        <v>59</v>
      </c>
      <c r="B1" s="26"/>
      <c r="C1" s="26"/>
      <c r="D1" s="26"/>
      <c r="E1" s="26"/>
      <c r="F1" s="26"/>
      <c r="G1" s="26"/>
      <c r="H1" s="26"/>
      <c r="I1" s="26"/>
      <c r="J1" s="26"/>
    </row>
    <row r="2" spans="1:10" ht="22.05" customHeight="1" x14ac:dyDescent="0.3">
      <c r="A2" s="32" t="s">
        <v>60</v>
      </c>
      <c r="B2" s="29"/>
      <c r="C2" s="29"/>
      <c r="D2" s="30"/>
      <c r="E2" s="28" t="s">
        <v>61</v>
      </c>
      <c r="F2" s="29"/>
      <c r="G2" s="29"/>
      <c r="H2" s="30"/>
      <c r="I2" s="31" t="s">
        <v>62</v>
      </c>
      <c r="J2" s="30"/>
    </row>
    <row r="3" spans="1:10" ht="30" customHeight="1" x14ac:dyDescent="0.3">
      <c r="A3" s="3" t="s">
        <v>63</v>
      </c>
      <c r="B3" s="3" t="s">
        <v>64</v>
      </c>
      <c r="C3" s="3" t="s">
        <v>65</v>
      </c>
      <c r="D3" s="3" t="s">
        <v>66</v>
      </c>
      <c r="E3" s="3" t="s">
        <v>25</v>
      </c>
      <c r="F3" s="3" t="s">
        <v>67</v>
      </c>
      <c r="G3" s="3" t="s">
        <v>68</v>
      </c>
      <c r="H3" s="3" t="s">
        <v>69</v>
      </c>
      <c r="I3" s="3" t="s">
        <v>70</v>
      </c>
      <c r="J3" s="3" t="s">
        <v>71</v>
      </c>
    </row>
    <row r="4" spans="1:10" ht="42" customHeight="1" x14ac:dyDescent="0.3">
      <c r="A4" s="4" t="s">
        <v>72</v>
      </c>
      <c r="B4" s="4" t="s">
        <v>73</v>
      </c>
      <c r="C4" s="4" t="s">
        <v>104</v>
      </c>
      <c r="D4" s="4" t="s">
        <v>74</v>
      </c>
      <c r="E4" s="4" t="s">
        <v>27</v>
      </c>
      <c r="F4" s="4" t="s">
        <v>105</v>
      </c>
      <c r="G4" s="4" t="s">
        <v>106</v>
      </c>
      <c r="H4" s="5" t="s">
        <v>75</v>
      </c>
      <c r="I4" s="4" t="s">
        <v>76</v>
      </c>
      <c r="J4" s="4" t="s">
        <v>107</v>
      </c>
    </row>
    <row r="5" spans="1:10" ht="42" customHeight="1" x14ac:dyDescent="0.3">
      <c r="A5" s="6" t="s">
        <v>77</v>
      </c>
      <c r="B5" s="6" t="s">
        <v>73</v>
      </c>
      <c r="C5" s="6" t="s">
        <v>108</v>
      </c>
      <c r="D5" s="6" t="s">
        <v>74</v>
      </c>
      <c r="E5" s="6" t="s">
        <v>27</v>
      </c>
      <c r="F5" s="6" t="s">
        <v>105</v>
      </c>
      <c r="G5" s="6" t="s">
        <v>109</v>
      </c>
      <c r="H5" s="5" t="s">
        <v>75</v>
      </c>
      <c r="I5" s="6" t="s">
        <v>76</v>
      </c>
      <c r="J5" s="6" t="s">
        <v>110</v>
      </c>
    </row>
    <row r="6" spans="1:10" ht="42" customHeight="1" x14ac:dyDescent="0.3">
      <c r="A6" s="4" t="s">
        <v>78</v>
      </c>
      <c r="B6" s="4" t="s">
        <v>73</v>
      </c>
      <c r="C6" s="4" t="s">
        <v>111</v>
      </c>
      <c r="D6" s="4" t="s">
        <v>74</v>
      </c>
      <c r="E6" s="4" t="s">
        <v>29</v>
      </c>
      <c r="F6" s="4" t="s">
        <v>112</v>
      </c>
      <c r="G6" s="4" t="s">
        <v>113</v>
      </c>
      <c r="H6" s="5" t="s">
        <v>75</v>
      </c>
      <c r="I6" s="4" t="s">
        <v>76</v>
      </c>
      <c r="J6" s="4" t="s">
        <v>114</v>
      </c>
    </row>
    <row r="7" spans="1:10" ht="42" customHeight="1" x14ac:dyDescent="0.3">
      <c r="A7" s="6" t="s">
        <v>79</v>
      </c>
      <c r="B7" s="6" t="s">
        <v>73</v>
      </c>
      <c r="C7" s="6" t="s">
        <v>115</v>
      </c>
      <c r="D7" s="6" t="s">
        <v>74</v>
      </c>
      <c r="E7" s="6" t="s">
        <v>29</v>
      </c>
      <c r="F7" s="6" t="s">
        <v>112</v>
      </c>
      <c r="G7" s="6" t="s">
        <v>116</v>
      </c>
      <c r="H7" s="5" t="s">
        <v>75</v>
      </c>
      <c r="I7" s="6" t="s">
        <v>76</v>
      </c>
      <c r="J7" s="6" t="s">
        <v>117</v>
      </c>
    </row>
    <row r="8" spans="1:10" ht="42" customHeight="1" x14ac:dyDescent="0.3">
      <c r="A8" s="4" t="s">
        <v>80</v>
      </c>
      <c r="B8" s="4" t="s">
        <v>73</v>
      </c>
      <c r="C8" s="4" t="s">
        <v>118</v>
      </c>
      <c r="D8" s="4" t="s">
        <v>74</v>
      </c>
      <c r="E8" s="4" t="s">
        <v>31</v>
      </c>
      <c r="F8" s="4" t="s">
        <v>119</v>
      </c>
      <c r="G8" s="4" t="s">
        <v>120</v>
      </c>
      <c r="H8" s="5" t="s">
        <v>75</v>
      </c>
      <c r="I8" s="4" t="s">
        <v>76</v>
      </c>
      <c r="J8" s="4" t="s">
        <v>121</v>
      </c>
    </row>
    <row r="9" spans="1:10" ht="42" customHeight="1" x14ac:dyDescent="0.3">
      <c r="A9" s="6" t="s">
        <v>81</v>
      </c>
      <c r="B9" s="6" t="s">
        <v>73</v>
      </c>
      <c r="C9" s="6" t="s">
        <v>122</v>
      </c>
      <c r="D9" s="6" t="s">
        <v>74</v>
      </c>
      <c r="E9" s="6" t="s">
        <v>33</v>
      </c>
      <c r="F9" s="6" t="s">
        <v>123</v>
      </c>
      <c r="G9" s="6" t="s">
        <v>124</v>
      </c>
      <c r="H9" s="5" t="s">
        <v>75</v>
      </c>
      <c r="I9" s="6" t="s">
        <v>76</v>
      </c>
      <c r="J9" s="6" t="s">
        <v>125</v>
      </c>
    </row>
    <row r="10" spans="1:10" ht="42" customHeight="1" x14ac:dyDescent="0.3">
      <c r="A10" s="4" t="s">
        <v>83</v>
      </c>
      <c r="B10" s="4" t="s">
        <v>73</v>
      </c>
      <c r="C10" s="4" t="s">
        <v>126</v>
      </c>
      <c r="D10" s="4" t="s">
        <v>74</v>
      </c>
      <c r="E10" s="4" t="s">
        <v>127</v>
      </c>
      <c r="F10" s="4" t="s">
        <v>128</v>
      </c>
      <c r="G10" s="4" t="s">
        <v>129</v>
      </c>
      <c r="H10" s="5" t="s">
        <v>75</v>
      </c>
      <c r="I10" s="4" t="s">
        <v>76</v>
      </c>
      <c r="J10" s="4" t="s">
        <v>130</v>
      </c>
    </row>
    <row r="11" spans="1:10" ht="42" customHeight="1" x14ac:dyDescent="0.3">
      <c r="A11" s="6" t="s">
        <v>85</v>
      </c>
      <c r="B11" s="6" t="s">
        <v>73</v>
      </c>
      <c r="C11" s="6" t="s">
        <v>131</v>
      </c>
      <c r="D11" s="6" t="s">
        <v>74</v>
      </c>
      <c r="E11" s="6" t="s">
        <v>132</v>
      </c>
      <c r="F11" s="6" t="s">
        <v>133</v>
      </c>
      <c r="G11" s="6" t="s">
        <v>187</v>
      </c>
      <c r="H11" s="5" t="s">
        <v>75</v>
      </c>
      <c r="I11" s="6" t="s">
        <v>76</v>
      </c>
      <c r="J11" s="6" t="s">
        <v>134</v>
      </c>
    </row>
    <row r="12" spans="1:10" ht="42" customHeight="1" x14ac:dyDescent="0.3">
      <c r="A12" s="4" t="s">
        <v>88</v>
      </c>
      <c r="B12" s="4" t="s">
        <v>73</v>
      </c>
      <c r="C12" s="4" t="s">
        <v>135</v>
      </c>
      <c r="D12" s="4" t="s">
        <v>84</v>
      </c>
      <c r="E12" s="4" t="s">
        <v>29</v>
      </c>
      <c r="F12" s="4" t="s">
        <v>112</v>
      </c>
      <c r="G12" s="4" t="s">
        <v>136</v>
      </c>
      <c r="H12" s="7" t="s">
        <v>82</v>
      </c>
      <c r="I12" s="4" t="s">
        <v>76</v>
      </c>
      <c r="J12" s="4" t="s">
        <v>137</v>
      </c>
    </row>
    <row r="13" spans="1:10" ht="42" customHeight="1" x14ac:dyDescent="0.3">
      <c r="A13" s="6" t="s">
        <v>138</v>
      </c>
      <c r="B13" s="6" t="s">
        <v>73</v>
      </c>
      <c r="C13" s="6" t="s">
        <v>139</v>
      </c>
      <c r="D13" s="6" t="s">
        <v>74</v>
      </c>
      <c r="E13" s="6" t="s">
        <v>35</v>
      </c>
      <c r="F13" s="6" t="s">
        <v>140</v>
      </c>
      <c r="G13" s="6" t="s">
        <v>141</v>
      </c>
      <c r="H13" s="5" t="s">
        <v>75</v>
      </c>
      <c r="I13" s="6" t="s">
        <v>76</v>
      </c>
      <c r="J13" s="6" t="s">
        <v>142</v>
      </c>
    </row>
    <row r="14" spans="1:10" ht="42" customHeight="1" x14ac:dyDescent="0.3">
      <c r="A14" s="4" t="s">
        <v>143</v>
      </c>
      <c r="B14" s="4" t="s">
        <v>73</v>
      </c>
      <c r="C14" s="4" t="s">
        <v>144</v>
      </c>
      <c r="D14" s="4" t="s">
        <v>74</v>
      </c>
      <c r="E14" s="4" t="s">
        <v>145</v>
      </c>
      <c r="F14" s="4" t="s">
        <v>146</v>
      </c>
      <c r="G14" s="4" t="s">
        <v>147</v>
      </c>
      <c r="H14" s="7" t="s">
        <v>82</v>
      </c>
      <c r="I14" s="4" t="s">
        <v>76</v>
      </c>
      <c r="J14" s="4" t="s">
        <v>148</v>
      </c>
    </row>
    <row r="15" spans="1:10" ht="42" customHeight="1" x14ac:dyDescent="0.3">
      <c r="A15" s="6" t="s">
        <v>149</v>
      </c>
      <c r="B15" s="6" t="s">
        <v>73</v>
      </c>
      <c r="C15" s="6" t="s">
        <v>150</v>
      </c>
      <c r="D15" s="6" t="s">
        <v>74</v>
      </c>
      <c r="E15" s="6" t="s">
        <v>151</v>
      </c>
      <c r="F15" s="6" t="s">
        <v>152</v>
      </c>
      <c r="G15" s="6" t="s">
        <v>153</v>
      </c>
      <c r="H15" s="7" t="s">
        <v>82</v>
      </c>
      <c r="I15" s="6" t="s">
        <v>76</v>
      </c>
      <c r="J15" s="6" t="s">
        <v>154</v>
      </c>
    </row>
    <row r="16" spans="1:10" ht="39.6" x14ac:dyDescent="0.3">
      <c r="A16" s="6" t="s">
        <v>155</v>
      </c>
      <c r="B16" s="6" t="s">
        <v>73</v>
      </c>
      <c r="C16" s="6" t="s">
        <v>156</v>
      </c>
      <c r="D16" s="6" t="s">
        <v>84</v>
      </c>
      <c r="E16" s="6" t="s">
        <v>87</v>
      </c>
      <c r="F16" s="6" t="s">
        <v>87</v>
      </c>
      <c r="G16" s="6" t="s">
        <v>157</v>
      </c>
      <c r="H16" s="8" t="s">
        <v>158</v>
      </c>
      <c r="I16" s="6" t="s">
        <v>87</v>
      </c>
      <c r="J16" s="6" t="s">
        <v>159</v>
      </c>
    </row>
    <row r="17" spans="1:10" ht="39.6" x14ac:dyDescent="0.3">
      <c r="A17" s="6" t="s">
        <v>160</v>
      </c>
      <c r="B17" s="6" t="s">
        <v>73</v>
      </c>
      <c r="C17" s="6" t="s">
        <v>161</v>
      </c>
      <c r="D17" s="6" t="s">
        <v>84</v>
      </c>
      <c r="E17" s="6" t="s">
        <v>87</v>
      </c>
      <c r="F17" s="6" t="s">
        <v>87</v>
      </c>
      <c r="G17" s="6" t="s">
        <v>157</v>
      </c>
      <c r="H17" s="8" t="s">
        <v>158</v>
      </c>
      <c r="I17" s="6" t="s">
        <v>87</v>
      </c>
      <c r="J17" s="6" t="s">
        <v>159</v>
      </c>
    </row>
    <row r="18" spans="1:10" ht="39.6" x14ac:dyDescent="0.3">
      <c r="A18" s="6" t="s">
        <v>89</v>
      </c>
      <c r="B18" s="6" t="s">
        <v>90</v>
      </c>
      <c r="C18" s="6" t="s">
        <v>162</v>
      </c>
      <c r="D18" s="6" t="s">
        <v>74</v>
      </c>
      <c r="E18" s="6" t="s">
        <v>87</v>
      </c>
      <c r="F18" s="6" t="s">
        <v>87</v>
      </c>
      <c r="G18" s="6" t="s">
        <v>163</v>
      </c>
      <c r="H18" s="8" t="s">
        <v>86</v>
      </c>
      <c r="I18" s="6" t="s">
        <v>87</v>
      </c>
      <c r="J18" s="6" t="s">
        <v>164</v>
      </c>
    </row>
    <row r="19" spans="1:10" ht="52.8" x14ac:dyDescent="0.3">
      <c r="A19" s="6" t="s">
        <v>91</v>
      </c>
      <c r="B19" s="6" t="s">
        <v>90</v>
      </c>
      <c r="C19" s="6" t="s">
        <v>165</v>
      </c>
      <c r="D19" s="6" t="s">
        <v>74</v>
      </c>
      <c r="E19" s="6" t="s">
        <v>87</v>
      </c>
      <c r="F19" s="6" t="s">
        <v>87</v>
      </c>
      <c r="G19" s="6" t="s">
        <v>166</v>
      </c>
      <c r="H19" s="8" t="s">
        <v>86</v>
      </c>
      <c r="I19" s="6" t="s">
        <v>87</v>
      </c>
      <c r="J19" s="6" t="s">
        <v>167</v>
      </c>
    </row>
    <row r="20" spans="1:10" ht="39.6" x14ac:dyDescent="0.3">
      <c r="A20" s="6" t="s">
        <v>92</v>
      </c>
      <c r="B20" s="6" t="s">
        <v>90</v>
      </c>
      <c r="C20" s="6" t="s">
        <v>168</v>
      </c>
      <c r="D20" s="6" t="s">
        <v>74</v>
      </c>
      <c r="E20" s="6" t="s">
        <v>87</v>
      </c>
      <c r="F20" s="6" t="s">
        <v>87</v>
      </c>
      <c r="G20" s="6" t="s">
        <v>169</v>
      </c>
      <c r="H20" s="8" t="s">
        <v>86</v>
      </c>
      <c r="I20" s="6" t="s">
        <v>87</v>
      </c>
      <c r="J20" s="6" t="s">
        <v>170</v>
      </c>
    </row>
    <row r="21" spans="1:10" ht="52.8" x14ac:dyDescent="0.3">
      <c r="A21" s="6" t="s">
        <v>171</v>
      </c>
      <c r="B21" s="6" t="s">
        <v>90</v>
      </c>
      <c r="C21" s="6" t="s">
        <v>172</v>
      </c>
      <c r="D21" s="6" t="s">
        <v>74</v>
      </c>
      <c r="E21" s="6" t="s">
        <v>151</v>
      </c>
      <c r="F21" s="6" t="s">
        <v>133</v>
      </c>
      <c r="G21" s="6" t="s">
        <v>173</v>
      </c>
      <c r="H21" s="5" t="s">
        <v>75</v>
      </c>
      <c r="I21" s="6" t="s">
        <v>76</v>
      </c>
      <c r="J21" s="6" t="s">
        <v>174</v>
      </c>
    </row>
    <row r="22" spans="1:10" ht="39.6" x14ac:dyDescent="0.3">
      <c r="A22" s="6" t="s">
        <v>175</v>
      </c>
      <c r="B22" s="6" t="s">
        <v>90</v>
      </c>
      <c r="C22" s="6" t="s">
        <v>176</v>
      </c>
      <c r="D22" s="6" t="s">
        <v>74</v>
      </c>
      <c r="E22" s="6" t="s">
        <v>87</v>
      </c>
      <c r="F22" s="6" t="s">
        <v>87</v>
      </c>
      <c r="G22" s="6" t="s">
        <v>169</v>
      </c>
      <c r="H22" s="8" t="s">
        <v>86</v>
      </c>
      <c r="I22" s="6" t="s">
        <v>87</v>
      </c>
      <c r="J22" s="6" t="s">
        <v>177</v>
      </c>
    </row>
    <row r="23" spans="1:10" ht="72" x14ac:dyDescent="0.3">
      <c r="A23" s="35" t="s">
        <v>178</v>
      </c>
      <c r="B23" s="35" t="s">
        <v>90</v>
      </c>
      <c r="C23" s="35" t="s">
        <v>179</v>
      </c>
      <c r="D23" s="35" t="s">
        <v>74</v>
      </c>
      <c r="E23" s="35" t="s">
        <v>29</v>
      </c>
      <c r="F23" s="35" t="s">
        <v>112</v>
      </c>
      <c r="G23" s="35" t="s">
        <v>180</v>
      </c>
      <c r="H23" s="7" t="s">
        <v>82</v>
      </c>
      <c r="I23" s="35" t="s">
        <v>76</v>
      </c>
      <c r="J23" s="35" t="s">
        <v>181</v>
      </c>
    </row>
    <row r="24" spans="1:10" ht="57.6" x14ac:dyDescent="0.3">
      <c r="A24" s="35" t="s">
        <v>182</v>
      </c>
      <c r="B24" s="35" t="s">
        <v>90</v>
      </c>
      <c r="C24" s="35" t="s">
        <v>183</v>
      </c>
      <c r="D24" s="35" t="s">
        <v>74</v>
      </c>
      <c r="E24" s="35" t="s">
        <v>184</v>
      </c>
      <c r="F24" s="35" t="s">
        <v>133</v>
      </c>
      <c r="G24" s="35" t="s">
        <v>185</v>
      </c>
      <c r="H24" s="5" t="s">
        <v>75</v>
      </c>
      <c r="I24" s="35" t="s">
        <v>76</v>
      </c>
      <c r="J24" s="35" t="s">
        <v>186</v>
      </c>
    </row>
  </sheetData>
  <autoFilter ref="A3:J200" xr:uid="{00000000-0009-0000-0000-000001000000}"/>
  <mergeCells count="4">
    <mergeCell ref="A1:J1"/>
    <mergeCell ref="E2:H2"/>
    <mergeCell ref="I2:J2"/>
    <mergeCell ref="A2:D2"/>
  </mergeCells>
  <phoneticPr fontId="15" type="noConversion"/>
  <dataValidations count="2">
    <dataValidation type="list" allowBlank="1" sqref="H4:H200" xr:uid="{00000000-0002-0000-0100-000000000000}">
      <formula1>"Cubierto,Parcialmente cubierto,No cubierto,No aplica al prototipo"</formula1>
    </dataValidation>
    <dataValidation type="list" allowBlank="1" sqref="I4:I200" xr:uid="{00000000-0002-0000-0100-000001000000}">
      <formula1>"Sí,No,—"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selection activeCell="B11" sqref="B11"/>
    </sheetView>
  </sheetViews>
  <sheetFormatPr baseColWidth="10" defaultColWidth="8.88671875" defaultRowHeight="14.4" x14ac:dyDescent="0.3"/>
  <cols>
    <col min="1" max="1" width="45" customWidth="1"/>
    <col min="2" max="2" width="20" customWidth="1"/>
  </cols>
  <sheetData>
    <row r="1" spans="1:4" ht="28.05" customHeight="1" x14ac:dyDescent="0.3">
      <c r="A1" s="33" t="s">
        <v>93</v>
      </c>
      <c r="B1" s="26"/>
      <c r="C1" s="26"/>
      <c r="D1" s="26"/>
    </row>
    <row r="3" spans="1:4" x14ac:dyDescent="0.3">
      <c r="A3" s="34" t="s">
        <v>94</v>
      </c>
      <c r="B3" s="26"/>
      <c r="C3" s="26"/>
      <c r="D3" s="26"/>
    </row>
    <row r="5" spans="1:4" x14ac:dyDescent="0.3">
      <c r="A5" s="9" t="s">
        <v>95</v>
      </c>
      <c r="B5" s="9" t="s">
        <v>96</v>
      </c>
    </row>
    <row r="6" spans="1:4" x14ac:dyDescent="0.3">
      <c r="A6" s="36" t="s">
        <v>97</v>
      </c>
      <c r="B6" s="10" cm="1">
        <f t="array" ref="B6">COUNTA(Trazabilidad!A4:A200*1)-COUNTBLANK(Trazabilidad!A4:A200)</f>
        <v>21</v>
      </c>
    </row>
    <row r="7" spans="1:4" x14ac:dyDescent="0.3">
      <c r="A7" s="10" t="s">
        <v>98</v>
      </c>
      <c r="B7" s="10">
        <f>COUNTIF(Trazabilidad!H4:H200,"Cubierto")</f>
        <v>11</v>
      </c>
    </row>
    <row r="8" spans="1:4" x14ac:dyDescent="0.3">
      <c r="A8" s="10" t="s">
        <v>99</v>
      </c>
      <c r="B8" s="10">
        <f>COUNTIF(Trazabilidad!H4:H200,"Parcialmente cubierto")</f>
        <v>4</v>
      </c>
    </row>
    <row r="9" spans="1:4" x14ac:dyDescent="0.3">
      <c r="A9" s="10" t="s">
        <v>100</v>
      </c>
      <c r="B9" s="10">
        <f>COUNTIF(Trazabilidad!H4:H200,"No cubierto")</f>
        <v>2</v>
      </c>
    </row>
    <row r="10" spans="1:4" x14ac:dyDescent="0.3">
      <c r="A10" s="10" t="s">
        <v>101</v>
      </c>
      <c r="B10" s="10">
        <f>COUNTIF(Trazabilidad!H4:H200,"No aplica al prototipo")</f>
        <v>4</v>
      </c>
    </row>
    <row r="12" spans="1:4" x14ac:dyDescent="0.3">
      <c r="A12" s="10" t="s">
        <v>102</v>
      </c>
      <c r="B12" s="10">
        <f>COUNTIF(Trazabilidad!I4:I200,"Sí")</f>
        <v>15</v>
      </c>
    </row>
    <row r="13" spans="1:4" x14ac:dyDescent="0.3">
      <c r="A13" s="10" t="s">
        <v>103</v>
      </c>
      <c r="B13" s="10">
        <f>COUNTIF(Trazabilidad!I4:I200,"No")</f>
        <v>0</v>
      </c>
    </row>
  </sheetData>
  <mergeCells count="2">
    <mergeCell ref="A1:D1"/>
    <mergeCell ref="A3:D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Trazabilidad</vt:lpstr>
      <vt:lpstr>Resumen Cobertura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IAN PAULO ACEVEDO ALDANA</cp:lastModifiedBy>
  <dcterms:created xsi:type="dcterms:W3CDTF">2026-05-28T16:50:59Z</dcterms:created>
  <dcterms:modified xsi:type="dcterms:W3CDTF">2026-06-18T22:21:20Z</dcterms:modified>
</cp:coreProperties>
</file>