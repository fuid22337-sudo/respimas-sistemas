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anac\OneDrive\Escritorio\Arevalo\Entrega fina Arevalo\"/>
    </mc:Choice>
  </mc:AlternateContent>
  <xr:revisionPtr revIDLastSave="0" documentId="13_ncr:1_{7F95C68A-25ED-43AF-AC76-1E4AE2CD857E}" xr6:coauthVersionLast="47" xr6:coauthVersionMax="47" xr10:uidLastSave="{00000000-0000-0000-0000-000000000000}"/>
  <bookViews>
    <workbookView xWindow="-108" yWindow="-108" windowWidth="23256" windowHeight="12456" firstSheet="1" activeTab="1" xr2:uid="{00000000-000D-0000-FFFF-FFFF00000000}"/>
  </bookViews>
  <sheets>
    <sheet name="Instrucciones" sheetId="1" r:id="rId1"/>
    <sheet name="RF - Funcionales" sheetId="2" r:id="rId2"/>
    <sheet name="RNF - No Funcionales" sheetId="3" r:id="rId3"/>
    <sheet name="Resumen" sheetId="4" r:id="rId4"/>
  </sheets>
  <definedNames>
    <definedName name="_xlnm._FilterDatabase" localSheetId="1" hidden="1">'RF - Funcionales'!$A$1:$H$100</definedName>
    <definedName name="_xlnm._FilterDatabase" localSheetId="2" hidden="1">'RNF - No Funcionales'!$A$1:$I$100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11" i="4"/>
  <c r="B12" i="4"/>
  <c r="B13" i="4"/>
  <c r="B14" i="4"/>
  <c r="B17" i="4"/>
  <c r="B18" i="4"/>
  <c r="B19" i="4"/>
  <c r="B20" i="4"/>
  <c r="B21" i="4"/>
  <c r="B8" i="4" l="1"/>
</calcChain>
</file>

<file path=xl/sharedStrings.xml><?xml version="1.0" encoding="utf-8"?>
<sst xmlns="http://schemas.openxmlformats.org/spreadsheetml/2006/main" count="222" uniqueCount="170">
  <si>
    <t>MATRIZ DE REQUERIMIENTOS - INSTRUCCIONES DE USO</t>
  </si>
  <si>
    <t>Propósito de esta matriz</t>
  </si>
  <si>
    <t>Esta matriz les permite documentar, priorizar y dar seguimiento a los requerimientos identificados en las entrevistas con el cliente.</t>
  </si>
  <si>
    <t>La matriz está diseñada para refinamiento iterativo: pueden ir agregando y modificando requerimientos conforme avanzan las entrevistas.</t>
  </si>
  <si>
    <t>Cómo usar esta plantilla:</t>
  </si>
  <si>
    <t>1. Vayan a la pestaña 'RF - Requerimientos Funcionales' y documenten todos los requerimientos funcionales identificados.</t>
  </si>
  <si>
    <t>2. Vayan a la pestaña 'RNF - Requerimientos No Funcionales' y documenten los no funcionales.</t>
  </si>
  <si>
    <t>3. La pestaña 'Resumen' se actualiza automáticamente con estadísticas.</t>
  </si>
  <si>
    <t>4. Usen los filtros de las columnas para ordenar por prioridad, estado, etc.</t>
  </si>
  <si>
    <t>Descripción de columnas:</t>
  </si>
  <si>
    <t>ID: Identificador único. Formato: RF-01, RF-02... para funcionales; RNF-01, RNF-02... para no funcionales.</t>
  </si>
  <si>
    <t>Descripción: Redactar en formato 'El sistema debe...' Ser específico y claro.</t>
  </si>
  <si>
    <t>Criterio de aceptación: ¿Cómo sabemos que el requerimiento está cumplido? OBLIGATORIO para Must-have.</t>
  </si>
  <si>
    <t>Prioridad: Usar metodología MoSCoW:</t>
  </si>
  <si>
    <t xml:space="preserve">  • Must have: Sin esto, el sistema no tiene sentido</t>
  </si>
  <si>
    <t xml:space="preserve">  • Should have: Muy importante, pero no crítico para primera versión</t>
  </si>
  <si>
    <t xml:space="preserve">  • Could have: Deseable si hay tiempo/presupuesto</t>
  </si>
  <si>
    <t xml:space="preserve">  • Won't have: Fuera de alcance en esta versión</t>
  </si>
  <si>
    <t>Fuente: ¿Quién solicitó este requerimiento? (nombre del stakeholder o rol)</t>
  </si>
  <si>
    <t>Estado: Evolución del requerimiento:</t>
  </si>
  <si>
    <t xml:space="preserve">  • Propuesto: Identificado en entrevista, pendiente de análisis</t>
  </si>
  <si>
    <t xml:space="preserve">  • En revisión: El equipo lo está analizando/refinando</t>
  </si>
  <si>
    <t xml:space="preserve">  • Validado internamente: El equipo confirma que es correcto</t>
  </si>
  <si>
    <t xml:space="preserve">  • Validado con cliente: El cliente lo aprobó</t>
  </si>
  <si>
    <t xml:space="preserve">  • Rechazado: Se decidió no incluirlo (explicar en Notas)</t>
  </si>
  <si>
    <t>Versión: Número de versión del requerimiento (empieza en 1.0, si lo modifican pasa a 1.1, etc.)</t>
  </si>
  <si>
    <t>Notas: Comentarios, dependencias con otros requerimientos, aclaraciones.</t>
  </si>
  <si>
    <t>Errores comunes a evitar:</t>
  </si>
  <si>
    <t>❌ Requerimientos ambiguos: 'El sistema debe ser rápido' → ✅ 'El sistema debe responder en menos de 2 segundos'</t>
  </si>
  <si>
    <t>❌ Soluciones disfrazadas de requerimientos: 'Debe usar MySQL' → ✅ 'Debe almacenar datos de forma persistente'</t>
  </si>
  <si>
    <t>❌ Requerimientos sin criterio de aceptación para Must-have → ✅ Siempre definir cómo validar</t>
  </si>
  <si>
    <t>❌ No indicar fuente → ✅ Rastrear quién lo pidió</t>
  </si>
  <si>
    <t>¡Éxito documentando sus requerimientos! 🚀</t>
  </si>
  <si>
    <t>ID</t>
  </si>
  <si>
    <t>Descripción</t>
  </si>
  <si>
    <t>Criterio de Aceptación</t>
  </si>
  <si>
    <t>Prioridad</t>
  </si>
  <si>
    <t>Fuente</t>
  </si>
  <si>
    <t>Estado</t>
  </si>
  <si>
    <t>Versión</t>
  </si>
  <si>
    <t>Notas</t>
  </si>
  <si>
    <t>RF-01</t>
  </si>
  <si>
    <t>Validado internamente</t>
  </si>
  <si>
    <t>Categoría</t>
  </si>
  <si>
    <t>Usabilidad</t>
  </si>
  <si>
    <t>RESUMEN DE REQUERIMIENTOS</t>
  </si>
  <si>
    <t>Esta hoja se actualizará automáticamente conforme agreguen requerimientos en las otras pestañas.</t>
  </si>
  <si>
    <t>Métrica</t>
  </si>
  <si>
    <t>Valor</t>
  </si>
  <si>
    <t>Total de Requerimientos Funcionales</t>
  </si>
  <si>
    <t>Total de Requerimientos No Funcionales</t>
  </si>
  <si>
    <t>Total General</t>
  </si>
  <si>
    <t>Requerimientos por Prioridad</t>
  </si>
  <si>
    <t>Must have (RF + RNF)</t>
  </si>
  <si>
    <t>Should have (RF + RNF)</t>
  </si>
  <si>
    <t>Could have (RF + RNF)</t>
  </si>
  <si>
    <t>Won't have (RF + RNF)</t>
  </si>
  <si>
    <t>Requerimientos por Estado</t>
  </si>
  <si>
    <t>Propuesto</t>
  </si>
  <si>
    <t>En revisión</t>
  </si>
  <si>
    <t>Validado con cliente</t>
  </si>
  <si>
    <t>Rechazado</t>
  </si>
  <si>
    <t>Rendimiento</t>
  </si>
  <si>
    <t>El sistema debe manejar al menos 5,000 movimientos de inventario mensuales y 1,000 facturas anuales con tiempos de consulta &lt; 3 segundos.</t>
  </si>
  <si>
    <t>Con una carga simulada de 5,000 movimientos de inventario en un mes y 1,000 facturas en el año, todas las consultas (listados, reportes, búsquedas) responden en menos de 3 segundos. Las operaciones de guardado (registrar un pago, actualizar inventario) se completan en menos de 2 segundos.</t>
  </si>
  <si>
    <t>Volúmenes reales de minuta 2</t>
  </si>
  <si>
    <t>Los volúmenes actuales son menores, se proyecta crecimiento.</t>
  </si>
  <si>
    <t>La interfaz debe ser intuitiva para usuarios acostumbrados a Excel: filtros, ordenamiento, copiar/pegar desde Excel.</t>
  </si>
  <si>
    <t>El usuario puede copiar datos de una celda en Excel y pegarlos en un campo de entrada del sistema (ej. en búsquedas o carga de datos). Las tablas permiten ordenar por cualquier columna haciendo clic en el encabezado. Se pueden aplicar filtros combinados (por fecha, cliente, producto).</t>
  </si>
  <si>
    <t>Cliente (minuta 1 y 2)</t>
  </si>
  <si>
    <t>Considerar que algunos usuarios usan macros en Excel.</t>
  </si>
  <si>
    <t>RNF-03</t>
  </si>
  <si>
    <t>Seguridad</t>
  </si>
  <si>
    <t>Respaldos automáticos diarios con retención de 30 días.</t>
  </si>
  <si>
    <t>Existe un proceso automatizado que genera respaldo completo de la base de datos diariamente a las 2:00 AM. Los respaldos se almacenan en una ubicación segura (diferente del servidor principal) y se conservan por al menos 30 días. Se puede restaurar una base de datos a partir de cualquier respaldo.</t>
  </si>
  <si>
    <t>Cliente (minuta 1)</t>
  </si>
  <si>
    <t>Responsabilidad del administrador del sistema.</t>
  </si>
  <si>
    <t>RNF-04</t>
  </si>
  <si>
    <t>Control de acceso por roles: almacén (solo inventario), cobranzas (solo facturas y pagos), administración (todo).</t>
  </si>
  <si>
    <t>Al iniciar sesión, el sistema presenta un menú diferente según el rol. Un usuario de almacén no puede acceder a las pantallas de cobranza ni a reportes financieros. Un usuario de cobranzas no puede modificar inventario. Los intentos de acceso no autorizado se registran en un log.</t>
  </si>
  <si>
    <t>RNF-05</t>
  </si>
  <si>
    <t>Disponibilidad</t>
  </si>
  <si>
    <t>Debe funcionar en entorno local (red de oficina) y opcionalmente en remoto (VPN o nube).</t>
  </si>
  <si>
    <t>El sistema es accesible desde cualquier computadora conectada a la red local de la empresa. Si se implementa en la nube o se configura VPN, los usuarios remotos pueden acceder con las mismas credenciales y funcionalidades. No hay degradación de rendimiento en remoto con conexiones de al menos 10 Mbps.</t>
  </si>
  <si>
    <t>Evaluar con el área de TI si permiten acceso externo.</t>
  </si>
  <si>
    <t>RNF-06</t>
  </si>
  <si>
    <t>Confiabilidad</t>
  </si>
  <si>
    <t>El sistema debe validar la integridad de datos al importar desde Excel (evitar duplicados, formatos incorrectos).</t>
  </si>
  <si>
    <t>Al cargar un archivo Excel con datos (ej. productos iniciales, clientes, facturas), el sistema muestra una vista previa con los registros que serán importados y señala errores (formatos de fecha incorrectos, montos con texto, duplicados potenciales). El usuario puede corregir antes de confirmar la importación. No se importan registros con errores críticos.</t>
  </si>
  <si>
    <t>Hallazgos de errores en archivos (minuta 2)</t>
  </si>
  <si>
    <t>Especialmente crítico para la migración inicial de datos.</t>
  </si>
  <si>
    <t>El sistema debe gestionar un catálogo único de productos con SKU, descripción, marca, código SAT, precios (cliente y proveedor), stock mínimo y existencia actual.</t>
  </si>
  <si>
    <t>El usuario con rol de administración puede agregar, editar y desactivar productos. Cada producto tiene un SKU único y obligatorio. El sistema valida que no se duplique el SKU ni el código SAT. Los precios se almacenan con dos decimales. El stock mínimo es un valor numérico entero.</t>
  </si>
  <si>
    <t>Unificar CATALOGO (código interno actual) con SKU nuevo.</t>
  </si>
  <si>
    <t>RF-02</t>
  </si>
  <si>
    <t>El sistema debe registrar movimientos de inventario (entradas por compra, salidas por venta) y actualizar existencias automáticamente.</t>
  </si>
  <si>
    <t>Al registrar una venta (desde factura), el sistema descuenta automáticamente la cantidad del inventario del producto correspondiente. Al registrar una recepción de compra (asociada a orden de compra), el sistema incrementa automáticamente la existencia. El historial de movimientos es consultable con filtros por fecha, producto, tipo de movimiento.</t>
  </si>
  <si>
    <t>Reemplaza el registro manual diario en columnas LUN a VIE.</t>
  </si>
  <si>
    <t>RF-03</t>
  </si>
  <si>
    <t>El sistema debe importar facturas de venta desde el sistema externo (CSV/XML o API) y mantener un historial de facturas con estatus de pago.</t>
  </si>
  <si>
    <t>El sistema permite cargar un archivo CSV o XML con las facturas emitidas; valida que no se dupliquen por folio; asocia automáticamente el cliente por RFC (si existe en el catálogo) o lo marca para revisión. Una vez importada, la factura aparece en la cartera del cliente con estatus "Pendiente".</t>
  </si>
  <si>
    <t>Relación de facturas, Sistema externo</t>
  </si>
  <si>
    <t>RF-04</t>
  </si>
  <si>
    <t>El sistema debe gestionar cuentas por cobrar con registro de abonos (parciales o totales), cálculo de saldo y antigüedad de cartera.</t>
  </si>
  <si>
    <t>El usuario de cobranza puede seleccionar una factura pendiente, ingresar un monto de abono (no mayor al saldo), una fecha y una referencia bancaria. El sistema actualiza el saldo automáticamente. Si el saldo llega a cero, cambia el estatus a "Pagada". La antigüedad de cartera se calcula en días desde la fecha de vencimiento hasta la fecha actual.</t>
  </si>
  <si>
    <t>Los abonos parciales deben quedar registrados con su propia línea de pago.</t>
  </si>
  <si>
    <t>RF-05</t>
  </si>
  <si>
    <t>El sistema debe gestionar cuentas por pagar a proveedores, registrando facturas de compra, fechas de vencimiento y pagos.</t>
  </si>
  <si>
    <t>El usuario de compras/administración puede registrar una factura de proveedor (folio, fecha, monto total, IVA, fecha vencimiento) y asociarla a una orden de compra (opcional). Al registrar un pago, se selecciona la factura y se marca como pagada. El sistema permite programar pagos y genera alertas de vencimiento.</t>
  </si>
  <si>
    <t>Debe permitir registrar pagos parciales a proveedores.</t>
  </si>
  <si>
    <t>RF-06</t>
  </si>
  <si>
    <t>El sistema debe permitir la generación de cotizaciones y órdenes de compra con selección de productos desde el catálogo.</t>
  </si>
  <si>
    <t>El usuario puede crear una cotización seleccionando productos del catálogo, ingresando cantidades, y el sistema calcula subtotal, IVA y total automáticamente. La cotización se guarda en el sistema con un número único y puede ser exportada a PDF. Para órdenes de compra, el flujo es similar pero se asocia a proveedor y se puede convertir en recepción de mercancía.</t>
  </si>
  <si>
    <t>Cotizaciones, Pedidos individuales</t>
  </si>
  <si>
    <t>RF-07</t>
  </si>
  <si>
    <t>El sistema debe evitar duplicidades mediante validaciones: SKU único, RFC único, folio de factura único.</t>
  </si>
  <si>
    <t>Al intentar registrar un producto con SKU ya existente, el sistema muestra error y no permite guardar. Al registrar un cliente con RFC ya existente (aunque el nombre sea diferente), el sistema sugiere fusionar o muestra advertencia. Al importar facturas, rechaza folios duplicados.</t>
  </si>
  <si>
    <t>Aplica a productos, clientes, proveedores y facturas.</t>
  </si>
  <si>
    <t>RF-08</t>
  </si>
  <si>
    <t>El sistema debe estandarizar formatos de fecha y monto en toda la plataforma.</t>
  </si>
  <si>
    <t>Todas las fechas se muestran en formato dd/mm/aaaa y se almacenan en un formato único (ej. DATE). Los montos se muestran con separador de miles y dos decimales (ej. 1,234.56). Al importar datos desde Excel, el sistema convierte automáticamente a los formatos estándar.</t>
  </si>
  <si>
    <t>Incluye conversión de fechas con hora y formatos erróneos.</t>
  </si>
  <si>
    <t>RF-09</t>
  </si>
  <si>
    <t>Conciliación manual actual</t>
  </si>
  <si>
    <t>RF-10</t>
  </si>
  <si>
    <t>El sistema debe generar reportes de inventario disponible, cuentas por cobrar (con saldos vencidos), cuentas por pagar, y movimientos históricos.</t>
  </si>
  <si>
    <t>Gerencia, Contabilidad</t>
  </si>
  <si>
    <t>Must have</t>
  </si>
  <si>
    <t>Should have</t>
  </si>
  <si>
    <t>Almacén, Archivo de almacén</t>
  </si>
  <si>
    <t>Formato de exportación del sistema actual validado con el cliente: CSV delimitado por comas con columnas Folio, Fecha, RFC Cliente, Productos, Totales. Ver minuta 3.</t>
  </si>
  <si>
    <t>Cobranza, Archivo de cobranza</t>
  </si>
  <si>
    <t>Relación de pagos proveedores</t>
  </si>
  <si>
    <t>Duplicidad detectada en archivos</t>
  </si>
  <si>
    <t>Formatos inconsistentes en archivos</t>
  </si>
  <si>
    <t>El sistema debe permitir la conciliación bancaria semiautomática (cruzando pagos registrados con movimientos bancarios, con revisión manual de no coincidentes).</t>
  </si>
  <si>
    <t>El usuario puede cargar un extracto bancario (archivo CSV/XML con fecha, monto, referencia). El sistema intenta emparejar automáticamente cada movimiento con un pago registrado (cliente o proveedor) basado en coincidencia exacta de monto y referencia en la misma fecha. Los movimientos no conciliados quedan en una bandeja para revisión manual donde el usuario puede emparejarlos arrastrando el movimiento bancario al pago correspondiente. El sistema marca los movimientos conciliados y genera un reporte de diferencias.</t>
  </si>
  <si>
    <t>Se definió el alcance semiautomático para MVP: emparejamiento automático solo por coincidencia exacta, el resto manual con interfaz de arrastre. Versión futura incluirá coincidencia difusa.</t>
  </si>
  <si>
    <t>El usuario con rol de administración puede acceder a un módulo de reportes con los siguientes formatos predefinidos: (1) Inventario actual con columnas SKU, Descripción, Existencia, Stock Mínimo, Diferencia, Estatus (Bajo stock/Normal); (2) Antigüedad de cartera por cliente con columnas Cliente, RFC, Factura, Fecha Vencimiento, Días Vencido, Saldo, 0-30, 31-60, 61-90, &gt;90; (3) Cuentas por pagar agrupadas por proveedor con columnas Proveedor, RFC, Factura, Fecha Vencimiento, Días por Vencer, Monto; (4) Historial de movimientos de inventario por producto con columnas Fecha, Producto, SKU, Tipo Movimiento, Cantidad, Existencia Resultante, Usuario. Los reportes pueden exportarse a Excel y PDF y filtrarse por rango de fechas.</t>
  </si>
  <si>
    <t>Se agregaron las columnas esperadas en cada reporte para mejorar verificabilidad.</t>
  </si>
  <si>
    <t>RF-11</t>
  </si>
  <si>
    <t>El sistema debe gestionar un catálogo de clientes y proveedores con RFC, razón social, dirección, teléfono, correo y estatus (activo/inactivo).</t>
  </si>
  <si>
    <t>El usuario con rol de administración puede registrar, editar y desactivar clientes y proveedores. El RFC es obligatorio y único. El sistema valida el formato de RFC (persona moral: 12 caracteres, persona física: 13 caracteres). Al desactivar un cliente o proveedor, no se elimina del historial pero se oculta en selectores de nuevos registros. El sistema permite buscar por RFC, razón social o parcial del nombre.</t>
  </si>
  <si>
    <t>Requerimiento identificado como faltante en validación de integridad. Esencial para RF-03, RF-04 y RF-05.</t>
  </si>
  <si>
    <t>RF-12</t>
  </si>
  <si>
    <t>El sistema debe gestionar usuarios del sistema con asignación de roles (almacén, cobranzas, administración) y control de acceso.</t>
  </si>
  <si>
    <t>El usuario con rol de administración puede crear, editar y desactivar usuarios del sistema. Cada usuario tiene nombre, correo, nombre de usuario y contraseña. Se asigna un único rol de entre los definidos (almacén, cobranzas, administración). Al desactivar un usuario, no puede iniciar sesión pero su historial de operaciones se conserva. El sistema puede mostrar una lista de usuarios activos con su rol y fecha de último acceso.</t>
  </si>
  <si>
    <t>Requerimiento identificado como faltante en validación de integridad. Habilita el control de acceso definido en RNF-04.</t>
  </si>
  <si>
    <t>RF-13</t>
  </si>
  <si>
    <t>El sistema debe permitir la cancelación de facturas y registro de devoluciones de mercancía con reintegro al inventario.</t>
  </si>
  <si>
    <t>El usuario con rol de administración puede cancelar una factura previamente registrada. Al cancelar, el sistema revierte el movimiento de inventario (incrementa existencias) y cambia el estatus de la factura a "Cancelada". Si la factura tenía abonos parciales, el sistema alerta y requiere confirmación. Las facturas canceladas no se eliminan del sistema; se muestran con estatus "Cancelada" y su saldo se ajusta a cero. Las devoluciones quedan registradas en el historial de movimientos de inventario como "Entrada por devolución".</t>
  </si>
  <si>
    <t>Requerimiento identificado como faltante en validación de integridad. El cliente mencionó que actualmente manejan devoluciones en notas manuales.</t>
  </si>
  <si>
    <t>RF-14</t>
  </si>
  <si>
    <t>El sistema debe registrar un log de auditoría de todas las operaciones de escritura (creación, edición, eliminación lógica) sobre productos, clientes, proveedores, facturas, pagos y usuarios.</t>
  </si>
  <si>
    <t>Cada operación de escritura genera un registro de auditoría con: fecha y hora, usuario que realizó la acción, tipo de entidad afectada (producto, cliente, etc.), ID de la entidad, tipo de operación (crear, editar, desactivar, cancelar) y valores anteriores y nuevos (para ediciones). El log de auditoría es consultable por el rol de administración con filtros por fecha, usuario y tipo de entidad. No se puede modificar ni eliminar ningún registro de auditoría.</t>
  </si>
  <si>
    <t>Requerimiento identificado como faltante en validación de integridad. Necesario para trazabilidad y cumplimiento.</t>
  </si>
  <si>
    <t>RNF-01</t>
  </si>
  <si>
    <t>RNF-02</t>
  </si>
  <si>
    <t>Los roles se asignan desde el panel de administración. Vinculado al nuevo RF-12.</t>
  </si>
  <si>
    <t>RNF-07</t>
  </si>
  <si>
    <t>Mantenibilidad</t>
  </si>
  <si>
    <t>El sistema debe ser una aplicación web responsive, accesible desde navegador (Chrome, Edge, Firefox) sin instalación de software cliente.</t>
  </si>
  <si>
    <t>El usuario accede al sistema mediante una URL en el navegador de su computadora (no requiere instalar ningún programa). La interfaz se adapta a resoluciones de pantalla desde 1366x768 en adelante. Compatible con las últimas dos versiones de Chrome, Edge y Firefox.</t>
  </si>
  <si>
    <t>Se confirmó con el cliente que las cotizaciones son necesarias para el piloto. Cambia de Should a Must. El formato de PDF se definirá en la fase de Diseño de Software.</t>
  </si>
  <si>
    <t>Requerimiento implícito en RNF-05 pero no explicitado. Facilita la adopción por usuarios acostumbrados a Excel en Windows.Validado con cliente durante la sesión de prototipo (15/05/2026)</t>
  </si>
  <si>
    <t>Cobranza, Compras, Archivos de clientes y proveedores (Minuta 3)</t>
  </si>
  <si>
    <t>Cliente (Minuta 1 y 2), RNF-04 (Minuta 3)</t>
  </si>
  <si>
    <t>Cobranza, Almacén (Minuta 3)</t>
  </si>
  <si>
    <t>Gerencia, Contabilidad, RNF-04 (Minuta 3)</t>
  </si>
  <si>
    <t>Cliente (Minuta 1), Área de TI (Minuta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</si>
</sst>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4E79"/>
      <name val="Calibri"/>
      <family val="2"/>
    </font>
    <font>
      <b/>
      <sz val="12"/>
      <color rgb="FF1F4E79"/>
      <name val="Calibri"/>
      <family val="2"/>
    </font>
    <font>
      <b/>
      <sz val="11"/>
      <color rgb="FF1F4E79"/>
      <name val="Calibri"/>
      <family val="2"/>
    </font>
    <font>
      <b/>
      <sz val="11"/>
      <color rgb="FFFFFFFF"/>
      <name val="Calibri"/>
      <family val="2"/>
    </font>
    <font>
      <i/>
      <sz val="10"/>
      <name val="Calibri"/>
      <family val="2"/>
    </font>
    <font>
      <sz val="9"/>
      <name val="Segoe UI"/>
      <family val="2"/>
    </font>
    <font>
      <sz val="9"/>
      <color theme="1"/>
      <name val="Segoe UI"/>
      <family val="2"/>
    </font>
  </fonts>
  <fills count="4">
    <fill>
      <patternFill patternType="none"/>
    </fill>
    <fill>
      <patternFill patternType="gray125"/>
    </fill>
    <fill>
      <patternFill patternType="solid">
        <fgColor rgb="FF1F4E79"/>
        <bgColor rgb="FF1F4E79"/>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3" borderId="0" xfId="0" applyFont="1" applyFill="1"/>
    <xf numFmtId="0" fontId="6" fillId="0" borderId="1" xfId="0" applyFont="1" applyBorder="1" applyAlignment="1">
      <alignment horizontal="center" vertical="center" wrapText="1"/>
    </xf>
    <xf numFmtId="0" fontId="1" fillId="0" borderId="0" xfId="0" applyFont="1"/>
    <xf numFmtId="0" fontId="0" fillId="0" borderId="0" xfId="0" applyAlignment="1">
      <alignment horizontal="center" vertical="center"/>
    </xf>
    <xf numFmtId="0" fontId="0" fillId="0" borderId="1" xfId="0" applyBorder="1" applyAlignment="1">
      <alignment horizontal="center" vertical="center"/>
    </xf>
    <xf numFmtId="0" fontId="5" fillId="0" borderId="0" xfId="0" applyFont="1"/>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0" fillId="0" borderId="0" xfId="0" applyAlignment="1">
      <alignment wrapText="1"/>
    </xf>
    <xf numFmtId="0" fontId="1" fillId="0" borderId="0" xfId="0" applyFont="1"/>
    <xf numFmtId="0" fontId="0" fillId="0" borderId="0" xfId="0"/>
    <xf numFmtId="0" fontId="6" fillId="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zoomScale="134" workbookViewId="0">
      <selection sqref="A1:H1"/>
    </sheetView>
  </sheetViews>
  <sheetFormatPr baseColWidth="10" defaultColWidth="8.88671875" defaultRowHeight="14.4" x14ac:dyDescent="0.3"/>
  <cols>
    <col min="1" max="1" width="120" customWidth="1"/>
  </cols>
  <sheetData>
    <row r="1" spans="1:8" ht="21" x14ac:dyDescent="0.4">
      <c r="A1" s="14" t="s">
        <v>0</v>
      </c>
      <c r="B1" s="15"/>
      <c r="C1" s="15"/>
      <c r="D1" s="15"/>
      <c r="E1" s="15"/>
      <c r="F1" s="15"/>
      <c r="G1" s="15"/>
      <c r="H1" s="15"/>
    </row>
    <row r="3" spans="1:8" ht="15.6" x14ac:dyDescent="0.3">
      <c r="A3" s="1" t="s">
        <v>1</v>
      </c>
    </row>
    <row r="4" spans="1:8" x14ac:dyDescent="0.3">
      <c r="A4" s="2" t="s">
        <v>2</v>
      </c>
    </row>
    <row r="5" spans="1:8" x14ac:dyDescent="0.3">
      <c r="A5" s="2" t="s">
        <v>3</v>
      </c>
    </row>
    <row r="7" spans="1:8" x14ac:dyDescent="0.3">
      <c r="A7" s="3" t="s">
        <v>4</v>
      </c>
    </row>
    <row r="8" spans="1:8" x14ac:dyDescent="0.3">
      <c r="A8" s="2" t="s">
        <v>5</v>
      </c>
    </row>
    <row r="9" spans="1:8" x14ac:dyDescent="0.3">
      <c r="A9" s="2" t="s">
        <v>6</v>
      </c>
    </row>
    <row r="10" spans="1:8" x14ac:dyDescent="0.3">
      <c r="A10" s="2" t="s">
        <v>7</v>
      </c>
    </row>
    <row r="11" spans="1:8" x14ac:dyDescent="0.3">
      <c r="A11" s="2" t="s">
        <v>8</v>
      </c>
    </row>
    <row r="13" spans="1:8" x14ac:dyDescent="0.3">
      <c r="A13" s="3" t="s">
        <v>9</v>
      </c>
    </row>
    <row r="15" spans="1:8" x14ac:dyDescent="0.3">
      <c r="A15" s="2" t="s">
        <v>10</v>
      </c>
    </row>
    <row r="16" spans="1:8" x14ac:dyDescent="0.3">
      <c r="A16" s="2" t="s">
        <v>11</v>
      </c>
    </row>
    <row r="17" spans="1:1" x14ac:dyDescent="0.3">
      <c r="A17" s="2" t="s">
        <v>12</v>
      </c>
    </row>
    <row r="18" spans="1:1" x14ac:dyDescent="0.3">
      <c r="A18" s="2" t="s">
        <v>13</v>
      </c>
    </row>
    <row r="19" spans="1:1" x14ac:dyDescent="0.3">
      <c r="A19" s="2" t="s">
        <v>14</v>
      </c>
    </row>
    <row r="20" spans="1:1" x14ac:dyDescent="0.3">
      <c r="A20" s="2" t="s">
        <v>15</v>
      </c>
    </row>
    <row r="21" spans="1:1" x14ac:dyDescent="0.3">
      <c r="A21" s="2" t="s">
        <v>16</v>
      </c>
    </row>
    <row r="22" spans="1:1" x14ac:dyDescent="0.3">
      <c r="A22" s="2" t="s">
        <v>17</v>
      </c>
    </row>
    <row r="23" spans="1:1" x14ac:dyDescent="0.3">
      <c r="A23" s="2" t="s">
        <v>18</v>
      </c>
    </row>
    <row r="24" spans="1:1" x14ac:dyDescent="0.3">
      <c r="A24" s="2" t="s">
        <v>19</v>
      </c>
    </row>
    <row r="25" spans="1:1" x14ac:dyDescent="0.3">
      <c r="A25" s="2" t="s">
        <v>20</v>
      </c>
    </row>
    <row r="26" spans="1:1" x14ac:dyDescent="0.3">
      <c r="A26" s="2" t="s">
        <v>21</v>
      </c>
    </row>
    <row r="27" spans="1:1" x14ac:dyDescent="0.3">
      <c r="A27" s="2" t="s">
        <v>22</v>
      </c>
    </row>
    <row r="28" spans="1:1" x14ac:dyDescent="0.3">
      <c r="A28" s="2" t="s">
        <v>23</v>
      </c>
    </row>
    <row r="29" spans="1:1" x14ac:dyDescent="0.3">
      <c r="A29" s="2" t="s">
        <v>24</v>
      </c>
    </row>
    <row r="30" spans="1:1" x14ac:dyDescent="0.3">
      <c r="A30" s="2" t="s">
        <v>25</v>
      </c>
    </row>
    <row r="31" spans="1:1" x14ac:dyDescent="0.3">
      <c r="A31" s="2" t="s">
        <v>26</v>
      </c>
    </row>
    <row r="33" spans="1:1" x14ac:dyDescent="0.3">
      <c r="A33" s="3" t="s">
        <v>27</v>
      </c>
    </row>
    <row r="34" spans="1:1" x14ac:dyDescent="0.3">
      <c r="A34" s="2" t="s">
        <v>28</v>
      </c>
    </row>
    <row r="35" spans="1:1" x14ac:dyDescent="0.3">
      <c r="A35" s="2" t="s">
        <v>29</v>
      </c>
    </row>
    <row r="36" spans="1:1" x14ac:dyDescent="0.3">
      <c r="A36" s="2" t="s">
        <v>30</v>
      </c>
    </row>
    <row r="37" spans="1:1" x14ac:dyDescent="0.3">
      <c r="A37" s="2" t="s">
        <v>31</v>
      </c>
    </row>
    <row r="39" spans="1:1" x14ac:dyDescent="0.3">
      <c r="A39" s="2" t="s">
        <v>32</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
  <sheetViews>
    <sheetView tabSelected="1" zoomScale="85" zoomScaleNormal="130" workbookViewId="0">
      <pane ySplit="1" topLeftCell="A14" activePane="bottomLeft" state="frozen"/>
      <selection pane="bottomLeft" activeCell="D15" sqref="D15"/>
    </sheetView>
  </sheetViews>
  <sheetFormatPr baseColWidth="10" defaultColWidth="8.88671875" defaultRowHeight="14.4" x14ac:dyDescent="0.3"/>
  <cols>
    <col min="1" max="1" width="10" customWidth="1"/>
    <col min="2" max="2" width="50" customWidth="1"/>
    <col min="3" max="3" width="40" customWidth="1"/>
    <col min="4" max="4" width="15" customWidth="1"/>
    <col min="5" max="6" width="20" customWidth="1"/>
    <col min="7" max="7" width="10" customWidth="1"/>
    <col min="8" max="8" width="30" customWidth="1"/>
  </cols>
  <sheetData>
    <row r="1" spans="1:11" x14ac:dyDescent="0.3">
      <c r="A1" s="4" t="s">
        <v>33</v>
      </c>
      <c r="B1" s="4" t="s">
        <v>34</v>
      </c>
      <c r="C1" s="4" t="s">
        <v>35</v>
      </c>
      <c r="D1" s="4" t="s">
        <v>36</v>
      </c>
      <c r="E1" s="4" t="s">
        <v>37</v>
      </c>
      <c r="F1" s="4" t="s">
        <v>38</v>
      </c>
      <c r="G1" s="4" t="s">
        <v>39</v>
      </c>
      <c r="H1" s="4" t="s">
        <v>40</v>
      </c>
    </row>
    <row r="2" spans="1:11" ht="95.4" customHeight="1" x14ac:dyDescent="0.3">
      <c r="A2" s="6" t="s">
        <v>41</v>
      </c>
      <c r="B2" s="6" t="s">
        <v>91</v>
      </c>
      <c r="C2" s="6" t="s">
        <v>92</v>
      </c>
      <c r="D2" s="6" t="s">
        <v>127</v>
      </c>
      <c r="E2" s="6" t="s">
        <v>129</v>
      </c>
      <c r="F2" s="6" t="s">
        <v>42</v>
      </c>
      <c r="G2" s="6">
        <v>1</v>
      </c>
      <c r="H2" s="6" t="s">
        <v>93</v>
      </c>
    </row>
    <row r="3" spans="1:11" ht="118.8" customHeight="1" x14ac:dyDescent="0.3">
      <c r="A3" s="6" t="s">
        <v>94</v>
      </c>
      <c r="B3" s="6" t="s">
        <v>95</v>
      </c>
      <c r="C3" s="6" t="s">
        <v>96</v>
      </c>
      <c r="D3" s="6" t="s">
        <v>127</v>
      </c>
      <c r="E3" s="6" t="s">
        <v>129</v>
      </c>
      <c r="F3" s="6" t="s">
        <v>42</v>
      </c>
      <c r="G3" s="6">
        <v>1</v>
      </c>
      <c r="H3" s="6" t="s">
        <v>97</v>
      </c>
    </row>
    <row r="4" spans="1:11" ht="100.8" customHeight="1" x14ac:dyDescent="0.3">
      <c r="A4" s="6" t="s">
        <v>98</v>
      </c>
      <c r="B4" s="6" t="s">
        <v>99</v>
      </c>
      <c r="C4" s="6" t="s">
        <v>100</v>
      </c>
      <c r="D4" s="6" t="s">
        <v>127</v>
      </c>
      <c r="E4" s="6" t="s">
        <v>101</v>
      </c>
      <c r="F4" s="6" t="s">
        <v>60</v>
      </c>
      <c r="G4" s="6">
        <v>1.1000000000000001</v>
      </c>
      <c r="H4" s="6" t="s">
        <v>130</v>
      </c>
    </row>
    <row r="5" spans="1:11" ht="109.8" customHeight="1" x14ac:dyDescent="0.3">
      <c r="A5" s="6" t="s">
        <v>102</v>
      </c>
      <c r="B5" s="6" t="s">
        <v>103</v>
      </c>
      <c r="C5" s="6" t="s">
        <v>104</v>
      </c>
      <c r="D5" s="6" t="s">
        <v>127</v>
      </c>
      <c r="E5" s="6" t="s">
        <v>131</v>
      </c>
      <c r="F5" s="6" t="s">
        <v>42</v>
      </c>
      <c r="G5" s="6">
        <v>1</v>
      </c>
      <c r="H5" s="6" t="s">
        <v>105</v>
      </c>
    </row>
    <row r="6" spans="1:11" ht="96.6" customHeight="1" x14ac:dyDescent="0.3">
      <c r="A6" s="6" t="s">
        <v>106</v>
      </c>
      <c r="B6" s="6" t="s">
        <v>107</v>
      </c>
      <c r="C6" s="6" t="s">
        <v>108</v>
      </c>
      <c r="D6" s="6" t="s">
        <v>127</v>
      </c>
      <c r="E6" s="6" t="s">
        <v>132</v>
      </c>
      <c r="F6" s="6" t="s">
        <v>42</v>
      </c>
      <c r="G6" s="6">
        <v>1</v>
      </c>
      <c r="H6" s="6" t="s">
        <v>109</v>
      </c>
    </row>
    <row r="7" spans="1:11" ht="119.4" customHeight="1" x14ac:dyDescent="0.3">
      <c r="A7" s="6" t="s">
        <v>110</v>
      </c>
      <c r="B7" s="6" t="s">
        <v>111</v>
      </c>
      <c r="C7" s="6" t="s">
        <v>112</v>
      </c>
      <c r="D7" s="6" t="s">
        <v>127</v>
      </c>
      <c r="E7" s="6" t="s">
        <v>113</v>
      </c>
      <c r="F7" s="6" t="s">
        <v>60</v>
      </c>
      <c r="G7" s="6">
        <v>1.1000000000000001</v>
      </c>
      <c r="H7" s="6" t="s">
        <v>163</v>
      </c>
    </row>
    <row r="8" spans="1:11" ht="91.8" customHeight="1" x14ac:dyDescent="0.3">
      <c r="A8" s="6" t="s">
        <v>114</v>
      </c>
      <c r="B8" s="6" t="s">
        <v>115</v>
      </c>
      <c r="C8" s="6" t="s">
        <v>116</v>
      </c>
      <c r="D8" s="6" t="s">
        <v>127</v>
      </c>
      <c r="E8" s="6" t="s">
        <v>133</v>
      </c>
      <c r="F8" s="6" t="s">
        <v>42</v>
      </c>
      <c r="G8" s="6">
        <v>1</v>
      </c>
      <c r="H8" s="6" t="s">
        <v>117</v>
      </c>
    </row>
    <row r="9" spans="1:11" ht="73.2" customHeight="1" x14ac:dyDescent="0.3">
      <c r="A9" s="6" t="s">
        <v>118</v>
      </c>
      <c r="B9" s="6" t="s">
        <v>119</v>
      </c>
      <c r="C9" s="6" t="s">
        <v>120</v>
      </c>
      <c r="D9" s="6" t="s">
        <v>127</v>
      </c>
      <c r="E9" s="6" t="s">
        <v>134</v>
      </c>
      <c r="F9" s="6" t="s">
        <v>42</v>
      </c>
      <c r="G9" s="6">
        <v>1</v>
      </c>
      <c r="H9" s="6" t="s">
        <v>121</v>
      </c>
    </row>
    <row r="10" spans="1:11" ht="162" customHeight="1" x14ac:dyDescent="0.3">
      <c r="A10" s="6" t="s">
        <v>122</v>
      </c>
      <c r="B10" s="6" t="s">
        <v>135</v>
      </c>
      <c r="C10" s="6" t="s">
        <v>136</v>
      </c>
      <c r="D10" s="6" t="s">
        <v>128</v>
      </c>
      <c r="E10" s="6" t="s">
        <v>123</v>
      </c>
      <c r="F10" s="6" t="s">
        <v>59</v>
      </c>
      <c r="G10" s="6">
        <v>1.1000000000000001</v>
      </c>
      <c r="H10" s="6" t="s">
        <v>137</v>
      </c>
    </row>
    <row r="11" spans="1:11" ht="229.2" customHeight="1" x14ac:dyDescent="0.3">
      <c r="A11" s="6" t="s">
        <v>124</v>
      </c>
      <c r="B11" s="6" t="s">
        <v>125</v>
      </c>
      <c r="C11" s="6" t="s">
        <v>138</v>
      </c>
      <c r="D11" s="12" t="s">
        <v>127</v>
      </c>
      <c r="E11" s="6" t="s">
        <v>126</v>
      </c>
      <c r="F11" s="6" t="s">
        <v>42</v>
      </c>
      <c r="G11" s="6">
        <v>1.1000000000000001</v>
      </c>
      <c r="H11" s="6" t="s">
        <v>139</v>
      </c>
    </row>
    <row r="12" spans="1:11" ht="118.2" customHeight="1" x14ac:dyDescent="0.3">
      <c r="A12" s="11" t="s">
        <v>140</v>
      </c>
      <c r="B12" s="12" t="s">
        <v>141</v>
      </c>
      <c r="C12" s="12" t="s">
        <v>142</v>
      </c>
      <c r="D12" s="12" t="s">
        <v>127</v>
      </c>
      <c r="E12" s="12" t="s">
        <v>165</v>
      </c>
      <c r="F12" s="12" t="s">
        <v>60</v>
      </c>
      <c r="G12" s="12">
        <v>1</v>
      </c>
      <c r="H12" s="12" t="s">
        <v>143</v>
      </c>
      <c r="I12" s="13"/>
      <c r="J12" s="13"/>
      <c r="K12" s="13"/>
    </row>
    <row r="13" spans="1:11" ht="136.80000000000001" customHeight="1" x14ac:dyDescent="0.3">
      <c r="A13" s="11" t="s">
        <v>144</v>
      </c>
      <c r="B13" s="12" t="s">
        <v>145</v>
      </c>
      <c r="C13" s="12" t="s">
        <v>146</v>
      </c>
      <c r="D13" s="12" t="s">
        <v>127</v>
      </c>
      <c r="E13" s="12" t="s">
        <v>166</v>
      </c>
      <c r="F13" s="12" t="s">
        <v>60</v>
      </c>
      <c r="G13" s="12">
        <v>1</v>
      </c>
      <c r="H13" s="12" t="s">
        <v>147</v>
      </c>
      <c r="I13" s="13"/>
      <c r="J13" s="13"/>
      <c r="K13" s="13"/>
    </row>
    <row r="14" spans="1:11" ht="164.4" customHeight="1" x14ac:dyDescent="0.3">
      <c r="A14" s="11" t="s">
        <v>148</v>
      </c>
      <c r="B14" s="12" t="s">
        <v>149</v>
      </c>
      <c r="C14" s="12" t="s">
        <v>150</v>
      </c>
      <c r="D14" s="12" t="s">
        <v>128</v>
      </c>
      <c r="E14" s="12" t="s">
        <v>167</v>
      </c>
      <c r="F14" s="12" t="s">
        <v>60</v>
      </c>
      <c r="G14" s="12">
        <v>1</v>
      </c>
      <c r="H14" s="12" t="s">
        <v>151</v>
      </c>
      <c r="I14" s="13"/>
      <c r="J14" s="13"/>
      <c r="K14" s="13"/>
    </row>
    <row r="15" spans="1:11" ht="120" customHeight="1" x14ac:dyDescent="0.3">
      <c r="A15" s="11" t="s">
        <v>152</v>
      </c>
      <c r="B15" s="12" t="s">
        <v>153</v>
      </c>
      <c r="C15" s="12" t="s">
        <v>154</v>
      </c>
      <c r="D15" s="12" t="s">
        <v>128</v>
      </c>
      <c r="E15" s="12" t="s">
        <v>168</v>
      </c>
      <c r="F15" s="12" t="s">
        <v>60</v>
      </c>
      <c r="G15" s="12">
        <v>1</v>
      </c>
      <c r="H15" s="12" t="s">
        <v>155</v>
      </c>
      <c r="I15" s="13"/>
      <c r="J15" s="13"/>
      <c r="K15" s="13"/>
    </row>
    <row r="16" spans="1:11" x14ac:dyDescent="0.3">
      <c r="A16" s="8"/>
      <c r="B16" s="8"/>
      <c r="C16" s="8"/>
      <c r="D16" s="8"/>
      <c r="E16" s="8"/>
      <c r="F16" s="8"/>
      <c r="G16" s="8"/>
      <c r="H16" s="8"/>
    </row>
  </sheetData>
  <autoFilter ref="A1:H100" xr:uid="{00000000-0009-0000-0000-000001000000}"/>
  <dataValidations count="2">
    <dataValidation type="list" sqref="E12:E100 D11:D100" xr:uid="{00000000-0002-0000-0100-000000000000}">
      <formula1>"Must have,Should have,Could have,Won't have"</formula1>
    </dataValidation>
    <dataValidation type="list" sqref="F12:G100" xr:uid="{00000000-0002-0000-0100-000001000000}">
      <formula1>"Propuesto,En revisión,Validado internamente,Validado con cliente,Rechazado"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zoomScale="89" zoomScaleNormal="52" workbookViewId="0">
      <pane ySplit="1" topLeftCell="A7" activePane="bottomLeft" state="frozen"/>
      <selection pane="bottomLeft" activeCell="A4" sqref="A4"/>
    </sheetView>
  </sheetViews>
  <sheetFormatPr baseColWidth="10" defaultColWidth="8.88671875" defaultRowHeight="14.4" x14ac:dyDescent="0.3"/>
  <cols>
    <col min="1" max="1" width="10" customWidth="1"/>
    <col min="2" max="2" width="15" customWidth="1"/>
    <col min="3" max="3" width="45" customWidth="1"/>
    <col min="4" max="4" width="35" customWidth="1"/>
    <col min="5" max="5" width="15" customWidth="1"/>
    <col min="6" max="7" width="20" customWidth="1"/>
    <col min="8" max="8" width="10" customWidth="1"/>
    <col min="9" max="9" width="30" customWidth="1"/>
  </cols>
  <sheetData>
    <row r="1" spans="1:9" x14ac:dyDescent="0.3">
      <c r="A1" s="4" t="s">
        <v>33</v>
      </c>
      <c r="B1" s="4" t="s">
        <v>43</v>
      </c>
      <c r="C1" s="4" t="s">
        <v>34</v>
      </c>
      <c r="D1" s="4" t="s">
        <v>35</v>
      </c>
      <c r="E1" s="4" t="s">
        <v>36</v>
      </c>
      <c r="F1" s="4" t="s">
        <v>37</v>
      </c>
      <c r="G1" s="4" t="s">
        <v>38</v>
      </c>
      <c r="H1" s="4" t="s">
        <v>39</v>
      </c>
      <c r="I1" s="4" t="s">
        <v>40</v>
      </c>
    </row>
    <row r="2" spans="1:9" ht="125.4" customHeight="1" x14ac:dyDescent="0.3">
      <c r="A2" s="16" t="s">
        <v>156</v>
      </c>
      <c r="B2" s="6" t="s">
        <v>62</v>
      </c>
      <c r="C2" s="6" t="s">
        <v>63</v>
      </c>
      <c r="D2" s="6" t="s">
        <v>64</v>
      </c>
      <c r="E2" s="12" t="s">
        <v>127</v>
      </c>
      <c r="F2" s="6" t="s">
        <v>65</v>
      </c>
      <c r="G2" s="6" t="s">
        <v>42</v>
      </c>
      <c r="H2" s="6">
        <v>1</v>
      </c>
      <c r="I2" s="6" t="s">
        <v>66</v>
      </c>
    </row>
    <row r="3" spans="1:9" ht="117.6" customHeight="1" x14ac:dyDescent="0.3">
      <c r="A3" s="6" t="s">
        <v>157</v>
      </c>
      <c r="B3" s="6" t="s">
        <v>44</v>
      </c>
      <c r="C3" s="6" t="s">
        <v>67</v>
      </c>
      <c r="D3" s="6" t="s">
        <v>68</v>
      </c>
      <c r="E3" s="12" t="s">
        <v>127</v>
      </c>
      <c r="F3" s="6" t="s">
        <v>69</v>
      </c>
      <c r="G3" s="6" t="s">
        <v>42</v>
      </c>
      <c r="H3" s="6">
        <v>1</v>
      </c>
      <c r="I3" s="6" t="s">
        <v>70</v>
      </c>
    </row>
    <row r="4" spans="1:9" ht="123" customHeight="1" x14ac:dyDescent="0.3">
      <c r="A4" s="16" t="s">
        <v>71</v>
      </c>
      <c r="B4" s="6" t="s">
        <v>72</v>
      </c>
      <c r="C4" s="6" t="s">
        <v>73</v>
      </c>
      <c r="D4" s="6" t="s">
        <v>74</v>
      </c>
      <c r="E4" s="12" t="s">
        <v>128</v>
      </c>
      <c r="F4" s="6" t="s">
        <v>75</v>
      </c>
      <c r="G4" s="6" t="s">
        <v>42</v>
      </c>
      <c r="H4" s="6">
        <v>1</v>
      </c>
      <c r="I4" s="6" t="s">
        <v>76</v>
      </c>
    </row>
    <row r="5" spans="1:9" ht="99" customHeight="1" x14ac:dyDescent="0.3">
      <c r="A5" s="6" t="s">
        <v>77</v>
      </c>
      <c r="B5" s="6" t="s">
        <v>72</v>
      </c>
      <c r="C5" s="6" t="s">
        <v>78</v>
      </c>
      <c r="D5" s="6" t="s">
        <v>79</v>
      </c>
      <c r="E5" s="12" t="s">
        <v>127</v>
      </c>
      <c r="F5" s="6" t="s">
        <v>69</v>
      </c>
      <c r="G5" s="6" t="s">
        <v>42</v>
      </c>
      <c r="H5" s="6">
        <v>1</v>
      </c>
      <c r="I5" s="6" t="s">
        <v>158</v>
      </c>
    </row>
    <row r="6" spans="1:9" ht="141" customHeight="1" x14ac:dyDescent="0.3">
      <c r="A6" s="6" t="s">
        <v>80</v>
      </c>
      <c r="B6" s="6" t="s">
        <v>81</v>
      </c>
      <c r="C6" s="6" t="s">
        <v>82</v>
      </c>
      <c r="D6" s="6" t="s">
        <v>83</v>
      </c>
      <c r="E6" s="12" t="s">
        <v>127</v>
      </c>
      <c r="F6" s="6" t="s">
        <v>75</v>
      </c>
      <c r="G6" s="6" t="s">
        <v>42</v>
      </c>
      <c r="H6" s="6">
        <v>1</v>
      </c>
      <c r="I6" s="6" t="s">
        <v>84</v>
      </c>
    </row>
    <row r="7" spans="1:9" ht="134.4" customHeight="1" x14ac:dyDescent="0.3">
      <c r="A7" s="6" t="s">
        <v>85</v>
      </c>
      <c r="B7" s="6" t="s">
        <v>86</v>
      </c>
      <c r="C7" s="6" t="s">
        <v>87</v>
      </c>
      <c r="D7" s="6" t="s">
        <v>88</v>
      </c>
      <c r="E7" s="12" t="s">
        <v>127</v>
      </c>
      <c r="F7" s="6" t="s">
        <v>89</v>
      </c>
      <c r="G7" s="6" t="s">
        <v>42</v>
      </c>
      <c r="H7" s="6">
        <v>1</v>
      </c>
      <c r="I7" s="6" t="s">
        <v>90</v>
      </c>
    </row>
    <row r="8" spans="1:9" ht="94.8" customHeight="1" x14ac:dyDescent="0.3">
      <c r="A8" s="9" t="s">
        <v>159</v>
      </c>
      <c r="B8" s="12" t="s">
        <v>160</v>
      </c>
      <c r="C8" s="12" t="s">
        <v>161</v>
      </c>
      <c r="D8" s="12" t="s">
        <v>162</v>
      </c>
      <c r="E8" s="12" t="s">
        <v>127</v>
      </c>
      <c r="F8" s="12" t="s">
        <v>169</v>
      </c>
      <c r="G8" s="12" t="s">
        <v>58</v>
      </c>
      <c r="H8" s="12">
        <v>1</v>
      </c>
      <c r="I8" s="12" t="s">
        <v>164</v>
      </c>
    </row>
  </sheetData>
  <autoFilter ref="A1:I100" xr:uid="{00000000-0009-0000-0000-000002000000}"/>
  <dataValidations count="3">
    <dataValidation type="list" sqref="B8:B100" xr:uid="{00000000-0002-0000-0200-000000000000}">
      <formula1>"Usabilidad,Rendimiento,Seguridad,Confiabilidad,Portabilidad,Mantenibilidad,Disponibilidad"</formula1>
    </dataValidation>
    <dataValidation type="list" sqref="D8:E100 E2:E7" xr:uid="{00000000-0002-0000-0200-000001000000}">
      <formula1>"Must have,Should have,Could have,Won't have"</formula1>
    </dataValidation>
    <dataValidation type="list" sqref="F8:G100" xr:uid="{00000000-0002-0000-0200-000002000000}">
      <formula1>"Propuesto,En revisión,Validado internamente,Validado con cliente,Rechazado"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topLeftCell="A7" zoomScale="130" zoomScaleNormal="130" workbookViewId="0">
      <selection activeCell="B20" sqref="B20"/>
    </sheetView>
  </sheetViews>
  <sheetFormatPr baseColWidth="10" defaultColWidth="8.88671875" defaultRowHeight="14.4" x14ac:dyDescent="0.3"/>
  <cols>
    <col min="1" max="1" width="40" customWidth="1"/>
    <col min="2" max="2" width="20" customWidth="1"/>
  </cols>
  <sheetData>
    <row r="1" spans="1:2" ht="21" x14ac:dyDescent="0.4">
      <c r="A1" s="7" t="s">
        <v>45</v>
      </c>
    </row>
    <row r="3" spans="1:2" x14ac:dyDescent="0.3">
      <c r="A3" s="10" t="s">
        <v>46</v>
      </c>
    </row>
    <row r="5" spans="1:2" x14ac:dyDescent="0.3">
      <c r="A5" s="5" t="s">
        <v>47</v>
      </c>
      <c r="B5" s="5" t="s">
        <v>48</v>
      </c>
    </row>
    <row r="6" spans="1:2" x14ac:dyDescent="0.3">
      <c r="A6" t="s">
        <v>49</v>
      </c>
      <c r="B6">
        <f>COUNTA('RF - Funcionales'!A2:A100)-COUNTBLANK('RF - Funcionales'!A2:A100)</f>
        <v>-71</v>
      </c>
    </row>
    <row r="7" spans="1:2" x14ac:dyDescent="0.3">
      <c r="A7" t="s">
        <v>50</v>
      </c>
      <c r="B7">
        <f>COUNTA('RNF - No Funcionales'!A2:A100)-COUNTBLANK('RNF - No Funcionales'!A2:A100)</f>
        <v>-85</v>
      </c>
    </row>
    <row r="8" spans="1:2" x14ac:dyDescent="0.3">
      <c r="A8" t="s">
        <v>51</v>
      </c>
      <c r="B8">
        <f>B6+B7</f>
        <v>-156</v>
      </c>
    </row>
    <row r="10" spans="1:2" x14ac:dyDescent="0.3">
      <c r="A10" s="5" t="s">
        <v>52</v>
      </c>
    </row>
    <row r="11" spans="1:2" x14ac:dyDescent="0.3">
      <c r="A11" t="s">
        <v>53</v>
      </c>
      <c r="B11">
        <f>COUNTIF('RF - Funcionales'!D:D,"Must have")+COUNTIF('RNF - No Funcionales'!E:E,"Must have")</f>
        <v>17</v>
      </c>
    </row>
    <row r="12" spans="1:2" x14ac:dyDescent="0.3">
      <c r="A12" t="s">
        <v>54</v>
      </c>
      <c r="B12">
        <f>COUNTIF('RF - Funcionales'!D:D,"Should have")+COUNTIF('RNF - No Funcionales'!E:E,"Should have")</f>
        <v>4</v>
      </c>
    </row>
    <row r="13" spans="1:2" x14ac:dyDescent="0.3">
      <c r="A13" t="s">
        <v>55</v>
      </c>
      <c r="B13">
        <f>COUNTIF('RF - Funcionales'!D:D,"Could have")+COUNTIF('RNF - No Funcionales'!E:E,"Could have")</f>
        <v>0</v>
      </c>
    </row>
    <row r="14" spans="1:2" x14ac:dyDescent="0.3">
      <c r="A14" t="s">
        <v>56</v>
      </c>
      <c r="B14">
        <f>COUNTIF('RF - Funcionales'!D:D,"Won't have")+COUNTIF('RNF - No Funcionales'!E:E,"Won't have")</f>
        <v>0</v>
      </c>
    </row>
    <row r="16" spans="1:2" x14ac:dyDescent="0.3">
      <c r="A16" s="5" t="s">
        <v>57</v>
      </c>
    </row>
    <row r="17" spans="1:2" x14ac:dyDescent="0.3">
      <c r="A17" t="s">
        <v>58</v>
      </c>
      <c r="B17">
        <f>COUNTIF('RF - Funcionales'!F:F,"Propuesto")+COUNTIF('RNF - No Funcionales'!G:G,"Propuesto")</f>
        <v>1</v>
      </c>
    </row>
    <row r="18" spans="1:2" x14ac:dyDescent="0.3">
      <c r="A18" t="s">
        <v>59</v>
      </c>
      <c r="B18">
        <f>COUNTIF('RF - Funcionales'!F:F,"En revisión")+COUNTIF('RNF - No Funcionales'!G:G,"En revisión")</f>
        <v>1</v>
      </c>
    </row>
    <row r="19" spans="1:2" x14ac:dyDescent="0.3">
      <c r="A19" t="s">
        <v>42</v>
      </c>
      <c r="B19">
        <f>COUNTIF('RF - Funcionales'!F:F,"Validado internamente")+COUNTIF('RNF - No Funcionales'!G:G,"Validado internamente")</f>
        <v>13</v>
      </c>
    </row>
    <row r="20" spans="1:2" x14ac:dyDescent="0.3">
      <c r="A20" t="s">
        <v>60</v>
      </c>
      <c r="B20">
        <f>COUNTIF('RF - Funcionales'!F:F,"Validado con cliente")+COUNTIF('RNF - No Funcionales'!G:G,"Validado con cliente")</f>
        <v>6</v>
      </c>
    </row>
    <row r="21" spans="1:2" x14ac:dyDescent="0.3">
      <c r="A21" t="s">
        <v>61</v>
      </c>
      <c r="B21">
        <f>COUNTIF('RF - Funcionales'!F:F,"Rechazado")+COUNTIF('RNF - No Funcionales'!G:G,"Rechazado")</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RF - Funcionales</vt:lpstr>
      <vt:lpstr>RNF - No Funcionales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PAULO ACEVEDO ALDANA</cp:lastModifiedBy>
  <dcterms:created xsi:type="dcterms:W3CDTF">2026-03-22T19:30:30Z</dcterms:created>
  <dcterms:modified xsi:type="dcterms:W3CDTF">2026-06-18T22:52:31Z</dcterms:modified>
</cp:coreProperties>
</file>